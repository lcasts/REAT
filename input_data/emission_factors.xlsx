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Studium\Desktop\Launch_Reentry_Data\REAT_github\input_data\"/>
    </mc:Choice>
  </mc:AlternateContent>
  <xr:revisionPtr revIDLastSave="0" documentId="13_ncr:1_{A1DAA843-DB15-43BB-838E-269C939507B2}" xr6:coauthVersionLast="47" xr6:coauthVersionMax="47" xr10:uidLastSave="{00000000-0000-0000-0000-000000000000}"/>
  <bookViews>
    <workbookView xWindow="3225" yWindow="3315" windowWidth="10620" windowHeight="9465" xr2:uid="{00000000-000D-0000-FFFF-FFFF00000000}"/>
  </bookViews>
  <sheets>
    <sheet name="Emission_Factors" sheetId="1" r:id="rId1"/>
    <sheet name="README - How to enter data" sheetId="2" r:id="rId2"/>
  </sheets>
  <definedNames>
    <definedName name="_xlnm._FilterDatabase" localSheetId="0" hidden="1">Emission_Factors!$A$1:$BJ$47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</calcChain>
</file>

<file path=xl/sharedStrings.xml><?xml version="1.0" encoding="utf-8"?>
<sst xmlns="http://schemas.openxmlformats.org/spreadsheetml/2006/main" count="249" uniqueCount="124">
  <si>
    <t>sheet: Emission_Factors</t>
  </si>
  <si>
    <t>All data is based on stochiometric combustion of 1kg fuel with xy kg of oxidizer</t>
  </si>
  <si>
    <t>fuel</t>
  </si>
  <si>
    <t>CO2</t>
  </si>
  <si>
    <t>H2O</t>
  </si>
  <si>
    <t>If a simplified calculation is assumed these values are used for calculating the emissions instead of using NASA CEA.</t>
  </si>
  <si>
    <t>RP-1/LOX</t>
  </si>
  <si>
    <t>The fuel name should be exatly the same as defined in the stages.</t>
  </si>
  <si>
    <t>material</t>
  </si>
  <si>
    <t>method</t>
  </si>
  <si>
    <t>altitude_interval</t>
  </si>
  <si>
    <t>BC_prim</t>
  </si>
  <si>
    <t>AA7475</t>
  </si>
  <si>
    <t>stoichiometric</t>
  </si>
  <si>
    <t>AA2219</t>
  </si>
  <si>
    <t>[0,120]</t>
  </si>
  <si>
    <t>Ti6Al4V</t>
  </si>
  <si>
    <t>AA5056</t>
  </si>
  <si>
    <t>A316</t>
  </si>
  <si>
    <t>AlTi</t>
  </si>
  <si>
    <t>AA2198</t>
  </si>
  <si>
    <t>Al2O3</t>
  </si>
  <si>
    <t>Ag2O</t>
  </si>
  <si>
    <t>Cl2</t>
  </si>
  <si>
    <t>Cr2O3</t>
  </si>
  <si>
    <t>CuO</t>
  </si>
  <si>
    <t>Fe2O3</t>
  </si>
  <si>
    <t>MgO</t>
  </si>
  <si>
    <t>MnO2</t>
  </si>
  <si>
    <t>NiO</t>
  </si>
  <si>
    <t>SiO2</t>
  </si>
  <si>
    <t>SnO2</t>
  </si>
  <si>
    <t>TiO2</t>
  </si>
  <si>
    <t>V2O5</t>
  </si>
  <si>
    <t>ZnO</t>
  </si>
  <si>
    <t>CFRP</t>
  </si>
  <si>
    <t>[50,55]</t>
  </si>
  <si>
    <t>[55,60]</t>
  </si>
  <si>
    <t>[60,65]</t>
  </si>
  <si>
    <t>[65,70]</t>
  </si>
  <si>
    <t>REAT</t>
  </si>
  <si>
    <t>NO</t>
  </si>
  <si>
    <t>Zn</t>
  </si>
  <si>
    <t>Mg2</t>
  </si>
  <si>
    <t>NO2</t>
  </si>
  <si>
    <t>[45,50]</t>
  </si>
  <si>
    <t>Mn</t>
  </si>
  <si>
    <t>[70,75]</t>
  </si>
  <si>
    <t>[35,40]</t>
  </si>
  <si>
    <t>[40,45]</t>
  </si>
  <si>
    <t>V4O10</t>
  </si>
  <si>
    <t>Cl</t>
  </si>
  <si>
    <t>CO</t>
  </si>
  <si>
    <t>H</t>
  </si>
  <si>
    <t>H2</t>
  </si>
  <si>
    <t>OH</t>
  </si>
  <si>
    <t>C</t>
  </si>
  <si>
    <t>CH4</t>
  </si>
  <si>
    <t>CLO</t>
  </si>
  <si>
    <t>HCl</t>
  </si>
  <si>
    <t>HCN</t>
  </si>
  <si>
    <t>HNC</t>
  </si>
  <si>
    <t>HOCL</t>
  </si>
  <si>
    <t>NH3</t>
  </si>
  <si>
    <t>SiCu</t>
  </si>
  <si>
    <t>AA7075</t>
  </si>
  <si>
    <t>AA2195</t>
  </si>
  <si>
    <t>CFRPAl</t>
  </si>
  <si>
    <t>Inconel718</t>
  </si>
  <si>
    <t>atomic</t>
  </si>
  <si>
    <t>AL(at)</t>
  </si>
  <si>
    <t>Ag(at)</t>
  </si>
  <si>
    <t>C(at)</t>
  </si>
  <si>
    <t>CL(at)</t>
  </si>
  <si>
    <t>Cr(at)</t>
  </si>
  <si>
    <t>Co(at)</t>
  </si>
  <si>
    <t>Cu(at)</t>
  </si>
  <si>
    <t>Fe(at)</t>
  </si>
  <si>
    <t>H(at)</t>
  </si>
  <si>
    <t>Li(at)</t>
  </si>
  <si>
    <t>Mg(at)</t>
  </si>
  <si>
    <t>Mo(at)</t>
  </si>
  <si>
    <t>Mn(at)</t>
  </si>
  <si>
    <t>N(at)</t>
  </si>
  <si>
    <t>Nb(at)</t>
  </si>
  <si>
    <t>Ni(at)</t>
  </si>
  <si>
    <t>O(at)</t>
  </si>
  <si>
    <t>Si(at)</t>
  </si>
  <si>
    <t>Sn(at)</t>
  </si>
  <si>
    <t>Ti(at)</t>
  </si>
  <si>
    <t>V(at)</t>
  </si>
  <si>
    <t>Zn(at)</t>
  </si>
  <si>
    <t>Inconel718_Cu</t>
  </si>
  <si>
    <t>CC</t>
  </si>
  <si>
    <t>Elec</t>
  </si>
  <si>
    <t>CFRP_AA7075</t>
  </si>
  <si>
    <t>A316L</t>
  </si>
  <si>
    <t>AA6061</t>
  </si>
  <si>
    <t>AACFRP</t>
  </si>
  <si>
    <t>AAITS</t>
  </si>
  <si>
    <t>AATF</t>
  </si>
  <si>
    <t>AATFU</t>
  </si>
  <si>
    <t>AATOX</t>
  </si>
  <si>
    <t>ACP</t>
  </si>
  <si>
    <t>AENG</t>
  </si>
  <si>
    <t>AFS</t>
  </si>
  <si>
    <t>CuAgZr</t>
  </si>
  <si>
    <t>Hastelloy-X</t>
  </si>
  <si>
    <t>Zr(at)</t>
  </si>
  <si>
    <t>Au(at)</t>
  </si>
  <si>
    <t>B(at)</t>
  </si>
  <si>
    <t>P(at)</t>
  </si>
  <si>
    <t>Pb(at)</t>
  </si>
  <si>
    <t>S(at)</t>
  </si>
  <si>
    <t>Ta(at)</t>
  </si>
  <si>
    <t>W(at)</t>
  </si>
  <si>
    <t>Matweb</t>
  </si>
  <si>
    <t>Bitondo, Prisco 2010</t>
  </si>
  <si>
    <t>DIN EN 573-3</t>
  </si>
  <si>
    <t>Elisental</t>
  </si>
  <si>
    <t>M56 HexPly composition</t>
  </si>
  <si>
    <t>VDM Alloy 718</t>
  </si>
  <si>
    <t>EN ISO 5832-3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</si>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</sst>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DEEBF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4" fontId="2" fillId="2" borderId="4" xfId="0" applyNumberFormat="1" applyFont="1" applyFill="1" applyBorder="1" applyAlignment="1">
      <alignment horizontal="left"/>
    </xf>
    <xf numFmtId="4" fontId="2" fillId="2" borderId="5" xfId="0" applyNumberFormat="1" applyFont="1" applyFill="1" applyBorder="1" applyAlignment="1">
      <alignment horizontal="left"/>
    </xf>
    <xf numFmtId="0" fontId="3" fillId="0" borderId="6" xfId="0" applyFont="1" applyBorder="1" applyAlignment="1">
      <alignment horizontal="left"/>
    </xf>
    <xf numFmtId="4" fontId="3" fillId="0" borderId="7" xfId="0" applyNumberFormat="1" applyFont="1" applyBorder="1" applyAlignment="1">
      <alignment horizontal="right"/>
    </xf>
    <xf numFmtId="4" fontId="3" fillId="0" borderId="8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2" fillId="0" borderId="9" xfId="0" applyFont="1" applyBorder="1" applyAlignment="1">
      <alignment horizontal="left"/>
    </xf>
    <xf numFmtId="164" fontId="2" fillId="0" borderId="9" xfId="0" applyNumberFormat="1" applyFont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164" fontId="3" fillId="0" borderId="9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4" fontId="2" fillId="2" borderId="11" xfId="0" applyNumberFormat="1" applyFont="1" applyFill="1" applyBorder="1" applyAlignment="1">
      <alignment horizontal="left"/>
    </xf>
    <xf numFmtId="3" fontId="2" fillId="2" borderId="11" xfId="0" applyNumberFormat="1" applyFont="1" applyFill="1" applyBorder="1" applyAlignment="1">
      <alignment horizontal="left"/>
    </xf>
    <xf numFmtId="0" fontId="0" fillId="0" borderId="9" xfId="0" applyBorder="1"/>
    <xf numFmtId="0" fontId="2" fillId="2" borderId="11" xfId="0" applyFont="1" applyFill="1" applyBorder="1" applyAlignment="1">
      <alignment horizontal="left"/>
    </xf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R55"/>
  <sheetViews>
    <sheetView tabSelected="1" zoomScale="85" zoomScaleNormal="85" workbookViewId="0">
      <pane ySplit="1" topLeftCell="A45" activePane="bottomLeft" state="frozen"/>
      <selection pane="bottomLeft" activeCell="A45" sqref="A45"/>
    </sheetView>
  </sheetViews>
  <sheetFormatPr baseColWidth="10" defaultColWidth="8.85546875" defaultRowHeight="15" x14ac:dyDescent="0.25"/>
  <cols>
    <col min="1" max="3" width="22" style="11" bestFit="1" customWidth="1"/>
    <col min="4" max="4" width="10.7109375" style="18" bestFit="1" customWidth="1"/>
    <col min="5" max="6" width="10.7109375" style="19" bestFit="1" customWidth="1"/>
    <col min="7" max="8" width="10.7109375" style="19" customWidth="1"/>
    <col min="9" max="9" width="10.7109375" style="19" bestFit="1" customWidth="1"/>
    <col min="10" max="11" width="10.7109375" style="19" customWidth="1"/>
    <col min="12" max="12" width="10.7109375" style="19" bestFit="1" customWidth="1"/>
    <col min="13" max="13" width="10.7109375" style="19" customWidth="1"/>
    <col min="14" max="16" width="10.7109375" style="19" bestFit="1" customWidth="1"/>
    <col min="17" max="18" width="10.7109375" style="19" customWidth="1"/>
    <col min="19" max="19" width="10.7109375" style="20" bestFit="1" customWidth="1"/>
    <col min="20" max="23" width="10.7109375" style="20" customWidth="1"/>
    <col min="24" max="24" width="10.7109375" style="20" bestFit="1" customWidth="1"/>
    <col min="25" max="26" width="10.7109375" style="20" customWidth="1"/>
    <col min="27" max="27" width="10.7109375" style="21" bestFit="1" customWidth="1"/>
    <col min="28" max="28" width="10.7109375" style="20" bestFit="1" customWidth="1"/>
    <col min="29" max="30" width="10.7109375" style="20" customWidth="1"/>
    <col min="31" max="32" width="10.7109375" style="20" bestFit="1" customWidth="1"/>
    <col min="33" max="33" width="10.7109375" style="19" bestFit="1" customWidth="1"/>
    <col min="34" max="35" width="8.28515625" customWidth="1"/>
    <col min="43" max="43" width="8.7109375" customWidth="1"/>
  </cols>
  <sheetData>
    <row r="1" spans="1:70" ht="18.75" customHeight="1" thickBot="1" x14ac:dyDescent="0.3">
      <c r="A1" s="13" t="s">
        <v>8</v>
      </c>
      <c r="B1" s="13" t="s">
        <v>9</v>
      </c>
      <c r="C1" s="13" t="s">
        <v>10</v>
      </c>
      <c r="D1" s="14" t="s">
        <v>11</v>
      </c>
      <c r="E1" s="14" t="s">
        <v>21</v>
      </c>
      <c r="F1" s="14" t="s">
        <v>22</v>
      </c>
      <c r="G1" s="14" t="s">
        <v>56</v>
      </c>
      <c r="H1" s="14" t="s">
        <v>52</v>
      </c>
      <c r="I1" s="14" t="s">
        <v>3</v>
      </c>
      <c r="J1" s="14" t="s">
        <v>57</v>
      </c>
      <c r="K1" s="14" t="s">
        <v>51</v>
      </c>
      <c r="L1" s="14" t="s">
        <v>23</v>
      </c>
      <c r="M1" s="14" t="s">
        <v>58</v>
      </c>
      <c r="N1" s="14" t="s">
        <v>24</v>
      </c>
      <c r="O1" s="14" t="s">
        <v>25</v>
      </c>
      <c r="P1" s="14" t="s">
        <v>26</v>
      </c>
      <c r="Q1" s="14" t="s">
        <v>53</v>
      </c>
      <c r="R1" s="14" t="s">
        <v>54</v>
      </c>
      <c r="S1" s="14" t="s">
        <v>4</v>
      </c>
      <c r="T1" s="14" t="s">
        <v>59</v>
      </c>
      <c r="U1" s="14" t="s">
        <v>60</v>
      </c>
      <c r="V1" s="14" t="s">
        <v>61</v>
      </c>
      <c r="W1" s="14" t="s">
        <v>62</v>
      </c>
      <c r="X1" s="14" t="s">
        <v>27</v>
      </c>
      <c r="Y1" s="14" t="s">
        <v>43</v>
      </c>
      <c r="Z1" s="14" t="s">
        <v>46</v>
      </c>
      <c r="AA1" s="13" t="s">
        <v>28</v>
      </c>
      <c r="AB1" s="14" t="s">
        <v>29</v>
      </c>
      <c r="AC1" s="14" t="s">
        <v>63</v>
      </c>
      <c r="AD1" s="14" t="s">
        <v>55</v>
      </c>
      <c r="AE1" s="14" t="s">
        <v>30</v>
      </c>
      <c r="AF1" s="14" t="s">
        <v>31</v>
      </c>
      <c r="AG1" s="14" t="s">
        <v>32</v>
      </c>
      <c r="AH1" s="13" t="s">
        <v>33</v>
      </c>
      <c r="AI1" s="13" t="s">
        <v>50</v>
      </c>
      <c r="AJ1" s="13" t="s">
        <v>34</v>
      </c>
      <c r="AK1" s="13" t="s">
        <v>42</v>
      </c>
      <c r="AL1" s="13" t="s">
        <v>41</v>
      </c>
      <c r="AM1" s="13" t="s">
        <v>44</v>
      </c>
      <c r="AN1" s="22" t="s">
        <v>70</v>
      </c>
      <c r="AO1" s="22" t="s">
        <v>71</v>
      </c>
      <c r="AP1" s="22" t="s">
        <v>109</v>
      </c>
      <c r="AQ1" s="22" t="s">
        <v>110</v>
      </c>
      <c r="AR1" s="23" t="s">
        <v>72</v>
      </c>
      <c r="AS1" s="22" t="s">
        <v>73</v>
      </c>
      <c r="AT1" s="23" t="s">
        <v>74</v>
      </c>
      <c r="AU1" s="23" t="s">
        <v>75</v>
      </c>
      <c r="AV1" s="22" t="s">
        <v>76</v>
      </c>
      <c r="AW1" s="23" t="s">
        <v>77</v>
      </c>
      <c r="AX1" s="23" t="s">
        <v>78</v>
      </c>
      <c r="AY1" s="23" t="s">
        <v>79</v>
      </c>
      <c r="AZ1" s="22" t="s">
        <v>80</v>
      </c>
      <c r="BA1" s="22" t="s">
        <v>81</v>
      </c>
      <c r="BB1" s="22" t="s">
        <v>82</v>
      </c>
      <c r="BC1" s="22" t="s">
        <v>83</v>
      </c>
      <c r="BD1" s="22" t="s">
        <v>84</v>
      </c>
      <c r="BE1" s="23" t="s">
        <v>85</v>
      </c>
      <c r="BF1" s="23" t="s">
        <v>86</v>
      </c>
      <c r="BG1" s="23" t="s">
        <v>111</v>
      </c>
      <c r="BH1" s="23" t="s">
        <v>112</v>
      </c>
      <c r="BI1" s="23" t="s">
        <v>113</v>
      </c>
      <c r="BJ1" s="23" t="s">
        <v>87</v>
      </c>
      <c r="BK1" s="23" t="s">
        <v>88</v>
      </c>
      <c r="BL1" s="23" t="s">
        <v>114</v>
      </c>
      <c r="BM1" s="23" t="s">
        <v>89</v>
      </c>
      <c r="BN1" s="23" t="s">
        <v>90</v>
      </c>
      <c r="BO1" s="23" t="s">
        <v>115</v>
      </c>
      <c r="BP1" s="23" t="s">
        <v>108</v>
      </c>
      <c r="BQ1" s="22" t="s">
        <v>91</v>
      </c>
      <c r="BR1" s="25" t="s">
        <v>123</v>
      </c>
    </row>
    <row r="2" spans="1:70" ht="20.25" customHeight="1" thickBot="1" x14ac:dyDescent="0.3">
      <c r="A2" s="15" t="s">
        <v>18</v>
      </c>
      <c r="B2" s="15" t="s">
        <v>13</v>
      </c>
      <c r="C2" s="15" t="s">
        <v>15</v>
      </c>
      <c r="D2" s="16">
        <v>0</v>
      </c>
      <c r="E2" s="16">
        <v>0</v>
      </c>
      <c r="F2" s="16">
        <v>0</v>
      </c>
      <c r="G2" s="16"/>
      <c r="H2" s="16"/>
      <c r="I2" s="16">
        <v>7.328282407792857E-3</v>
      </c>
      <c r="J2" s="16"/>
      <c r="K2" s="16"/>
      <c r="L2" s="16">
        <v>0</v>
      </c>
      <c r="M2" s="16"/>
      <c r="N2" s="16">
        <v>0.36538868374490352</v>
      </c>
      <c r="O2" s="16">
        <v>0</v>
      </c>
      <c r="P2" s="16">
        <v>0.7263094636941535</v>
      </c>
      <c r="Q2" s="16"/>
      <c r="R2" s="16"/>
      <c r="S2" s="16">
        <v>0</v>
      </c>
      <c r="T2" s="16"/>
      <c r="U2" s="16"/>
      <c r="V2" s="16"/>
      <c r="W2" s="16"/>
      <c r="X2" s="16">
        <v>0</v>
      </c>
      <c r="Y2" s="16"/>
      <c r="Z2" s="16"/>
      <c r="AA2" s="16">
        <v>3.165022388874731E-2</v>
      </c>
      <c r="AB2" s="16">
        <v>0.25451075937505319</v>
      </c>
      <c r="AC2" s="16"/>
      <c r="AD2" s="16"/>
      <c r="AE2" s="16">
        <v>4.2784404486380628E-2</v>
      </c>
      <c r="AF2" s="16">
        <v>0</v>
      </c>
      <c r="AG2" s="16">
        <v>0</v>
      </c>
      <c r="AH2" s="17">
        <v>0</v>
      </c>
      <c r="AI2" s="17"/>
      <c r="AJ2" s="17">
        <v>0</v>
      </c>
      <c r="AK2" s="17"/>
      <c r="AL2" s="17"/>
      <c r="AM2" s="17"/>
      <c r="AN2" s="17"/>
      <c r="AO2" s="17"/>
      <c r="AP2" s="17"/>
      <c r="AQ2" s="17"/>
      <c r="BR2" s="26"/>
    </row>
    <row r="3" spans="1:70" ht="18.75" customHeight="1" thickBot="1" x14ac:dyDescent="0.3">
      <c r="A3" s="15" t="s">
        <v>66</v>
      </c>
      <c r="B3" s="15" t="s">
        <v>13</v>
      </c>
      <c r="C3" s="15" t="s">
        <v>15</v>
      </c>
      <c r="D3" s="16">
        <v>0</v>
      </c>
      <c r="E3" s="16">
        <v>1.7584890426951301</v>
      </c>
      <c r="F3" s="16">
        <v>6.4449485575915804E-3</v>
      </c>
      <c r="G3" s="16"/>
      <c r="H3" s="16"/>
      <c r="I3" s="16">
        <v>0</v>
      </c>
      <c r="J3" s="16"/>
      <c r="K3" s="16"/>
      <c r="L3" s="16">
        <v>0</v>
      </c>
      <c r="M3" s="16"/>
      <c r="N3" s="16">
        <v>0</v>
      </c>
      <c r="O3" s="16">
        <v>5.3829509331822623E-2</v>
      </c>
      <c r="P3" s="16">
        <v>0</v>
      </c>
      <c r="Q3" s="16"/>
      <c r="R3" s="16"/>
      <c r="S3" s="16">
        <v>0</v>
      </c>
      <c r="T3" s="16"/>
      <c r="U3" s="16"/>
      <c r="V3" s="16"/>
      <c r="W3" s="16"/>
      <c r="X3" s="16">
        <v>1.3264760337379141E-2</v>
      </c>
      <c r="Y3" s="16"/>
      <c r="Z3" s="16"/>
      <c r="AA3" s="16">
        <v>0</v>
      </c>
      <c r="AB3" s="16">
        <v>0</v>
      </c>
      <c r="AC3" s="16"/>
      <c r="AD3" s="16"/>
      <c r="AE3" s="16">
        <v>2.567064269182837E-3</v>
      </c>
      <c r="AF3" s="16">
        <v>3.1739112121977929E-3</v>
      </c>
      <c r="AG3" s="16">
        <v>1.6684981302358621E-3</v>
      </c>
      <c r="AH3" s="17">
        <v>0</v>
      </c>
      <c r="AI3" s="17"/>
      <c r="AJ3" s="17">
        <v>1.991557051085959E-3</v>
      </c>
      <c r="AK3" s="17"/>
      <c r="AL3" s="17">
        <v>0</v>
      </c>
      <c r="AM3" s="17">
        <v>0</v>
      </c>
      <c r="AN3" s="17"/>
      <c r="AO3" s="17"/>
      <c r="AP3" s="17"/>
      <c r="AQ3" s="17"/>
      <c r="BR3" s="26"/>
    </row>
    <row r="4" spans="1:70" ht="18.75" customHeight="1" thickBot="1" x14ac:dyDescent="0.3">
      <c r="A4" s="15" t="s">
        <v>20</v>
      </c>
      <c r="B4" s="15" t="s">
        <v>13</v>
      </c>
      <c r="C4" s="15" t="s">
        <v>15</v>
      </c>
      <c r="D4" s="16">
        <v>0</v>
      </c>
      <c r="E4" s="16">
        <v>1.7622678952635089</v>
      </c>
      <c r="F4" s="16">
        <v>6.4449485575915804E-3</v>
      </c>
      <c r="G4" s="16"/>
      <c r="H4" s="16"/>
      <c r="I4" s="16">
        <v>0</v>
      </c>
      <c r="J4" s="16"/>
      <c r="K4" s="16"/>
      <c r="L4" s="16">
        <v>0</v>
      </c>
      <c r="M4" s="16"/>
      <c r="N4" s="16">
        <v>7.3077736748980698E-4</v>
      </c>
      <c r="O4" s="16">
        <v>4.3814716897995147E-2</v>
      </c>
      <c r="P4" s="16">
        <v>0</v>
      </c>
      <c r="Q4" s="16"/>
      <c r="R4" s="16"/>
      <c r="S4" s="16">
        <v>0</v>
      </c>
      <c r="T4" s="16"/>
      <c r="U4" s="16"/>
      <c r="V4" s="16"/>
      <c r="W4" s="16"/>
      <c r="X4" s="16">
        <v>1.3264760337379141E-2</v>
      </c>
      <c r="Y4" s="16"/>
      <c r="Z4" s="16"/>
      <c r="AA4" s="16">
        <v>7.9125559721868275E-3</v>
      </c>
      <c r="AB4" s="16">
        <v>0</v>
      </c>
      <c r="AC4" s="16"/>
      <c r="AD4" s="16"/>
      <c r="AE4" s="16">
        <v>1.7113761794552249E-3</v>
      </c>
      <c r="AF4" s="16">
        <v>3.1739112121977929E-3</v>
      </c>
      <c r="AG4" s="16">
        <v>1.6684981302358621E-3</v>
      </c>
      <c r="AH4" s="17">
        <v>0</v>
      </c>
      <c r="AI4" s="17"/>
      <c r="AJ4" s="17">
        <v>4.3565310492505354E-3</v>
      </c>
      <c r="AK4" s="17"/>
      <c r="AL4" s="17">
        <v>0</v>
      </c>
      <c r="AM4" s="17">
        <v>0</v>
      </c>
      <c r="AN4" s="17"/>
      <c r="AO4" s="17"/>
      <c r="AP4" s="17"/>
      <c r="AQ4" s="17"/>
      <c r="BR4" s="26"/>
    </row>
    <row r="5" spans="1:70" ht="18.75" customHeight="1" thickBot="1" x14ac:dyDescent="0.3">
      <c r="A5" s="15" t="s">
        <v>14</v>
      </c>
      <c r="B5" s="15" t="s">
        <v>13</v>
      </c>
      <c r="C5" s="15" t="s">
        <v>15</v>
      </c>
      <c r="D5" s="16">
        <v>0</v>
      </c>
      <c r="E5" s="16">
        <v>1.7439404603068711</v>
      </c>
      <c r="F5" s="16">
        <v>0</v>
      </c>
      <c r="G5" s="16"/>
      <c r="H5" s="16"/>
      <c r="I5" s="16">
        <v>0</v>
      </c>
      <c r="J5" s="16"/>
      <c r="K5" s="16"/>
      <c r="L5" s="16">
        <v>0</v>
      </c>
      <c r="M5" s="16"/>
      <c r="N5" s="16">
        <v>0</v>
      </c>
      <c r="O5" s="16">
        <v>8.5125735687533455E-2</v>
      </c>
      <c r="P5" s="16">
        <v>4.2892291163040561E-3</v>
      </c>
      <c r="Q5" s="16"/>
      <c r="R5" s="16"/>
      <c r="S5" s="16">
        <v>0</v>
      </c>
      <c r="T5" s="16"/>
      <c r="U5" s="16"/>
      <c r="V5" s="16"/>
      <c r="W5" s="16"/>
      <c r="X5" s="16">
        <v>0</v>
      </c>
      <c r="Y5" s="16"/>
      <c r="Z5" s="16"/>
      <c r="AA5" s="16">
        <v>6.3300447777494629E-3</v>
      </c>
      <c r="AB5" s="16">
        <v>0</v>
      </c>
      <c r="AC5" s="16"/>
      <c r="AD5" s="16"/>
      <c r="AE5" s="16">
        <v>0</v>
      </c>
      <c r="AF5" s="16">
        <v>0</v>
      </c>
      <c r="AG5" s="16">
        <v>0</v>
      </c>
      <c r="AH5" s="17">
        <v>0</v>
      </c>
      <c r="AI5" s="17"/>
      <c r="AJ5" s="17">
        <v>0</v>
      </c>
      <c r="AK5" s="17"/>
      <c r="AL5" s="17"/>
      <c r="AM5" s="17"/>
      <c r="AN5" s="17"/>
      <c r="AO5" s="17"/>
      <c r="AP5" s="17"/>
      <c r="AQ5" s="17"/>
      <c r="BR5" s="26"/>
    </row>
    <row r="6" spans="1:70" ht="18.75" customHeight="1" thickBot="1" x14ac:dyDescent="0.3">
      <c r="A6" s="15" t="s">
        <v>17</v>
      </c>
      <c r="B6" s="15" t="s">
        <v>13</v>
      </c>
      <c r="C6" s="15" t="s">
        <v>15</v>
      </c>
      <c r="D6" s="16">
        <v>0</v>
      </c>
      <c r="E6" s="16">
        <v>1.7892866911274179</v>
      </c>
      <c r="F6" s="16">
        <v>0</v>
      </c>
      <c r="G6" s="16"/>
      <c r="H6" s="16"/>
      <c r="I6" s="16">
        <v>0</v>
      </c>
      <c r="J6" s="16"/>
      <c r="K6" s="16"/>
      <c r="L6" s="16">
        <v>0</v>
      </c>
      <c r="M6" s="16"/>
      <c r="N6" s="16">
        <v>0</v>
      </c>
      <c r="O6" s="16">
        <v>0</v>
      </c>
      <c r="P6" s="16">
        <v>5.7189721550720742E-3</v>
      </c>
      <c r="Q6" s="16"/>
      <c r="R6" s="16"/>
      <c r="S6" s="16">
        <v>0</v>
      </c>
      <c r="T6" s="16"/>
      <c r="U6" s="16"/>
      <c r="V6" s="16"/>
      <c r="W6" s="16"/>
      <c r="X6" s="16">
        <v>9.2853322361653987E-2</v>
      </c>
      <c r="Y6" s="16"/>
      <c r="Z6" s="16"/>
      <c r="AA6" s="16">
        <v>0</v>
      </c>
      <c r="AB6" s="16">
        <v>0</v>
      </c>
      <c r="AC6" s="16"/>
      <c r="AD6" s="16"/>
      <c r="AE6" s="16">
        <v>0</v>
      </c>
      <c r="AF6" s="16">
        <v>0</v>
      </c>
      <c r="AG6" s="16">
        <v>0</v>
      </c>
      <c r="AH6" s="17">
        <v>0</v>
      </c>
      <c r="AI6" s="17"/>
      <c r="AJ6" s="17">
        <v>0</v>
      </c>
      <c r="AK6" s="17"/>
      <c r="AL6" s="17"/>
      <c r="AM6" s="17"/>
      <c r="AN6" s="17"/>
      <c r="AO6" s="17"/>
      <c r="AP6" s="17"/>
      <c r="AQ6" s="17"/>
      <c r="BR6" s="26"/>
    </row>
    <row r="7" spans="1:70" ht="18.75" customHeight="1" thickBot="1" x14ac:dyDescent="0.3">
      <c r="A7" s="15" t="s">
        <v>65</v>
      </c>
      <c r="B7" s="15" t="s">
        <v>13</v>
      </c>
      <c r="C7" s="15" t="s">
        <v>15</v>
      </c>
      <c r="D7" s="16">
        <v>0</v>
      </c>
      <c r="E7" s="16">
        <v>1.6498470313542359</v>
      </c>
      <c r="F7" s="16">
        <v>0</v>
      </c>
      <c r="G7" s="16"/>
      <c r="H7" s="16"/>
      <c r="I7" s="16">
        <v>0</v>
      </c>
      <c r="J7" s="16"/>
      <c r="K7" s="16"/>
      <c r="L7" s="16">
        <v>0</v>
      </c>
      <c r="M7" s="16"/>
      <c r="N7" s="16">
        <v>4.0923532579429187E-3</v>
      </c>
      <c r="O7" s="16">
        <v>2.5036981084568651E-2</v>
      </c>
      <c r="P7" s="16">
        <v>7.1487151938400923E-3</v>
      </c>
      <c r="Q7" s="16"/>
      <c r="R7" s="16"/>
      <c r="S7" s="16">
        <v>0</v>
      </c>
      <c r="T7" s="16"/>
      <c r="U7" s="16"/>
      <c r="V7" s="16"/>
      <c r="W7" s="16"/>
      <c r="X7" s="16">
        <v>4.8084756222999382E-2</v>
      </c>
      <c r="Y7" s="16"/>
      <c r="Z7" s="16"/>
      <c r="AA7" s="16">
        <v>4.7475335833120974E-3</v>
      </c>
      <c r="AB7" s="16">
        <v>0</v>
      </c>
      <c r="AC7" s="16"/>
      <c r="AD7" s="16"/>
      <c r="AE7" s="16">
        <v>8.5568808972761243E-3</v>
      </c>
      <c r="AF7" s="16">
        <v>0</v>
      </c>
      <c r="AG7" s="16">
        <v>3.3369962604717241E-3</v>
      </c>
      <c r="AH7" s="17">
        <v>0</v>
      </c>
      <c r="AI7" s="17"/>
      <c r="AJ7" s="17">
        <v>7.5928112572652182E-2</v>
      </c>
      <c r="AK7" s="17"/>
      <c r="AL7" s="17">
        <v>0</v>
      </c>
      <c r="AM7" s="17">
        <v>0</v>
      </c>
      <c r="AN7" s="17"/>
      <c r="AO7" s="17"/>
      <c r="AP7" s="17"/>
      <c r="AQ7" s="17"/>
      <c r="BR7" s="26"/>
    </row>
    <row r="8" spans="1:70" ht="18.75" customHeight="1" thickBot="1" x14ac:dyDescent="0.3">
      <c r="A8" s="15" t="s">
        <v>19</v>
      </c>
      <c r="B8" s="15" t="s">
        <v>13</v>
      </c>
      <c r="C8" s="15" t="s">
        <v>15</v>
      </c>
      <c r="D8" s="16">
        <v>0</v>
      </c>
      <c r="E8" s="16">
        <v>1.109093228819213</v>
      </c>
      <c r="F8" s="16">
        <v>0</v>
      </c>
      <c r="G8" s="16"/>
      <c r="H8" s="16"/>
      <c r="I8" s="16">
        <v>0</v>
      </c>
      <c r="J8" s="16"/>
      <c r="K8" s="16"/>
      <c r="L8" s="16">
        <v>0</v>
      </c>
      <c r="M8" s="16"/>
      <c r="N8" s="16">
        <v>1.461554734979614E-3</v>
      </c>
      <c r="O8" s="16">
        <v>0</v>
      </c>
      <c r="P8" s="16">
        <v>0</v>
      </c>
      <c r="Q8" s="16"/>
      <c r="R8" s="16"/>
      <c r="S8" s="16">
        <v>0</v>
      </c>
      <c r="T8" s="16"/>
      <c r="U8" s="16"/>
      <c r="V8" s="16"/>
      <c r="W8" s="16"/>
      <c r="X8" s="16">
        <v>2.32133305904135E-2</v>
      </c>
      <c r="Y8" s="16"/>
      <c r="Z8" s="16"/>
      <c r="AA8" s="16">
        <v>0</v>
      </c>
      <c r="AB8" s="16">
        <v>0</v>
      </c>
      <c r="AC8" s="16"/>
      <c r="AD8" s="16"/>
      <c r="AE8" s="16">
        <v>0</v>
      </c>
      <c r="AF8" s="16">
        <v>1.142608036391205E-2</v>
      </c>
      <c r="AG8" s="16">
        <v>0.56395236801972137</v>
      </c>
      <c r="AH8" s="17">
        <v>2.677751167994975E-2</v>
      </c>
      <c r="AI8" s="17"/>
      <c r="AJ8" s="17">
        <v>4.4810033649434082E-2</v>
      </c>
      <c r="AK8" s="17"/>
      <c r="AL8" s="17"/>
      <c r="AM8" s="17"/>
      <c r="AN8" s="17"/>
      <c r="AO8" s="17"/>
      <c r="AP8" s="17"/>
      <c r="AQ8" s="17"/>
      <c r="BR8" s="26"/>
    </row>
    <row r="9" spans="1:70" ht="18.75" customHeight="1" thickBot="1" x14ac:dyDescent="0.3">
      <c r="A9" s="15" t="s">
        <v>35</v>
      </c>
      <c r="B9" s="15" t="s">
        <v>13</v>
      </c>
      <c r="C9" s="15" t="s">
        <v>15</v>
      </c>
      <c r="D9" s="16">
        <v>2.5000000000000001E-2</v>
      </c>
      <c r="E9" s="16">
        <v>0</v>
      </c>
      <c r="F9" s="16">
        <v>0</v>
      </c>
      <c r="G9" s="16"/>
      <c r="H9" s="16"/>
      <c r="I9" s="16">
        <v>3.3490250603613361</v>
      </c>
      <c r="J9" s="16"/>
      <c r="K9" s="16"/>
      <c r="L9" s="16">
        <v>1.3100000000000001E-2</v>
      </c>
      <c r="M9" s="16"/>
      <c r="N9" s="16">
        <v>0</v>
      </c>
      <c r="O9" s="16">
        <v>0</v>
      </c>
      <c r="P9" s="16">
        <v>0</v>
      </c>
      <c r="Q9" s="16"/>
      <c r="R9" s="16"/>
      <c r="S9" s="16">
        <v>0.20731547619047619</v>
      </c>
      <c r="T9" s="16"/>
      <c r="U9" s="16"/>
      <c r="V9" s="16"/>
      <c r="W9" s="16"/>
      <c r="X9" s="16">
        <v>0</v>
      </c>
      <c r="Y9" s="16"/>
      <c r="Z9" s="16"/>
      <c r="AA9" s="16">
        <v>0</v>
      </c>
      <c r="AB9" s="16">
        <v>0</v>
      </c>
      <c r="AC9" s="16"/>
      <c r="AD9" s="16"/>
      <c r="AE9" s="16">
        <v>0</v>
      </c>
      <c r="AF9" s="16">
        <v>0</v>
      </c>
      <c r="AG9" s="16">
        <v>0</v>
      </c>
      <c r="AH9" s="17">
        <v>0</v>
      </c>
      <c r="AI9" s="17"/>
      <c r="AJ9" s="17">
        <v>0</v>
      </c>
      <c r="AK9" s="17"/>
      <c r="AL9" s="17">
        <v>5.7847504819019062E-2</v>
      </c>
      <c r="AM9" s="17">
        <v>8.8689226815163835E-2</v>
      </c>
      <c r="AN9" s="17"/>
      <c r="AO9" s="17"/>
      <c r="AP9" s="17"/>
      <c r="AQ9" s="17"/>
      <c r="BR9" s="26"/>
    </row>
    <row r="10" spans="1:70" ht="18.75" customHeight="1" thickBot="1" x14ac:dyDescent="0.3">
      <c r="A10" s="15" t="s">
        <v>67</v>
      </c>
      <c r="B10" s="15" t="s">
        <v>13</v>
      </c>
      <c r="C10" s="15" t="s">
        <v>15</v>
      </c>
      <c r="D10" s="16">
        <v>0</v>
      </c>
      <c r="E10" s="16">
        <v>0.85307596731154101</v>
      </c>
      <c r="F10" s="16">
        <v>0</v>
      </c>
      <c r="G10" s="16"/>
      <c r="H10" s="16"/>
      <c r="I10" s="16">
        <v>1.674512530180668</v>
      </c>
      <c r="J10" s="16"/>
      <c r="K10" s="16"/>
      <c r="L10" s="16" t="e">
        <f>0.5*#REF!</f>
        <v>#REF!</v>
      </c>
      <c r="M10" s="16"/>
      <c r="N10" s="16">
        <v>1.6077102084775751E-3</v>
      </c>
      <c r="O10" s="16">
        <v>0</v>
      </c>
      <c r="P10" s="16">
        <v>0</v>
      </c>
      <c r="Q10" s="16"/>
      <c r="R10" s="16"/>
      <c r="S10" s="16">
        <v>0.10365773809523809</v>
      </c>
      <c r="T10" s="16"/>
      <c r="U10" s="16"/>
      <c r="V10" s="16"/>
      <c r="W10" s="16"/>
      <c r="X10" s="16">
        <v>1.9068092984982511E-2</v>
      </c>
      <c r="Y10" s="16"/>
      <c r="Z10" s="16"/>
      <c r="AA10" s="16">
        <v>0</v>
      </c>
      <c r="AB10" s="16">
        <v>0</v>
      </c>
      <c r="AC10" s="16"/>
      <c r="AD10" s="16"/>
      <c r="AE10" s="16">
        <v>0</v>
      </c>
      <c r="AF10" s="16">
        <v>9.5217336365933797E-3</v>
      </c>
      <c r="AG10" s="16">
        <v>0</v>
      </c>
      <c r="AH10" s="17">
        <v>0</v>
      </c>
      <c r="AI10" s="17"/>
      <c r="AJ10" s="17">
        <v>3.5474609972468638E-2</v>
      </c>
      <c r="AK10" s="17"/>
      <c r="AL10" s="17">
        <v>2.8923752409509531E-2</v>
      </c>
      <c r="AM10" s="17">
        <v>4.4344613407581918E-2</v>
      </c>
      <c r="AN10" s="17"/>
      <c r="AO10" s="17"/>
      <c r="AP10" s="17"/>
      <c r="AQ10" s="17"/>
      <c r="BR10" s="26"/>
    </row>
    <row r="11" spans="1:70" ht="18.75" customHeight="1" thickBot="1" x14ac:dyDescent="0.3">
      <c r="A11" s="15" t="s">
        <v>68</v>
      </c>
      <c r="B11" s="15" t="s">
        <v>13</v>
      </c>
      <c r="C11" s="15" t="s">
        <v>15</v>
      </c>
      <c r="D11" s="16">
        <v>0</v>
      </c>
      <c r="E11" s="16">
        <v>1.511541027351568E-2</v>
      </c>
      <c r="F11" s="16">
        <v>0</v>
      </c>
      <c r="G11" s="16"/>
      <c r="H11" s="16"/>
      <c r="I11" s="16">
        <v>2.931312963117143E-3</v>
      </c>
      <c r="J11" s="16"/>
      <c r="K11" s="16"/>
      <c r="L11" s="16">
        <v>0</v>
      </c>
      <c r="M11" s="16"/>
      <c r="N11" s="16">
        <v>0.30692649434571889</v>
      </c>
      <c r="O11" s="16">
        <v>3.755547162685299E-3</v>
      </c>
      <c r="P11" s="16">
        <v>0.1689956271823797</v>
      </c>
      <c r="Q11" s="16"/>
      <c r="R11" s="16"/>
      <c r="S11" s="16">
        <v>0</v>
      </c>
      <c r="T11" s="16"/>
      <c r="U11" s="16"/>
      <c r="V11" s="16"/>
      <c r="W11" s="16"/>
      <c r="X11" s="16">
        <v>0</v>
      </c>
      <c r="Y11" s="16"/>
      <c r="Z11" s="16"/>
      <c r="AA11" s="16">
        <v>0</v>
      </c>
      <c r="AB11" s="16">
        <v>0.69990458828139634</v>
      </c>
      <c r="AC11" s="16"/>
      <c r="AD11" s="16"/>
      <c r="AE11" s="16">
        <v>7.4872707851166096E-3</v>
      </c>
      <c r="AF11" s="16">
        <v>0</v>
      </c>
      <c r="AG11" s="16">
        <v>1.9187728497712411E-2</v>
      </c>
      <c r="AH11" s="17">
        <v>0</v>
      </c>
      <c r="AI11" s="17"/>
      <c r="AJ11" s="17">
        <v>0</v>
      </c>
      <c r="AK11" s="17"/>
      <c r="AL11" s="17"/>
      <c r="AM11" s="17"/>
      <c r="AN11" s="17"/>
      <c r="AO11" s="17"/>
      <c r="AP11" s="17"/>
      <c r="AQ11" s="17"/>
      <c r="BR11" s="26"/>
    </row>
    <row r="12" spans="1:70" ht="19.5" customHeight="1" thickBot="1" x14ac:dyDescent="0.3">
      <c r="A12" s="15" t="s">
        <v>64</v>
      </c>
      <c r="B12" s="15" t="s">
        <v>13</v>
      </c>
      <c r="C12" s="15" t="s">
        <v>15</v>
      </c>
      <c r="D12" s="16">
        <v>0</v>
      </c>
      <c r="E12" s="16">
        <v>0</v>
      </c>
      <c r="F12" s="16">
        <v>1.0741580929319299E-2</v>
      </c>
      <c r="G12" s="16"/>
      <c r="H12" s="16"/>
      <c r="I12" s="16">
        <v>0</v>
      </c>
      <c r="J12" s="16"/>
      <c r="K12" s="16"/>
      <c r="L12" s="16">
        <v>0</v>
      </c>
      <c r="M12" s="16"/>
      <c r="N12" s="16">
        <v>0</v>
      </c>
      <c r="O12" s="16">
        <v>0.3880732068108142</v>
      </c>
      <c r="P12" s="16">
        <v>0.22875888620288301</v>
      </c>
      <c r="Q12" s="16"/>
      <c r="R12" s="16"/>
      <c r="S12" s="16">
        <v>0</v>
      </c>
      <c r="T12" s="16"/>
      <c r="U12" s="16"/>
      <c r="V12" s="16"/>
      <c r="W12" s="16"/>
      <c r="X12" s="16">
        <v>0</v>
      </c>
      <c r="Y12" s="16"/>
      <c r="Z12" s="16"/>
      <c r="AA12" s="16">
        <v>0</v>
      </c>
      <c r="AB12" s="16">
        <v>0.26723629734380588</v>
      </c>
      <c r="AC12" s="16"/>
      <c r="AD12" s="16"/>
      <c r="AE12" s="16">
        <v>0.66315826953889978</v>
      </c>
      <c r="AF12" s="16">
        <v>0</v>
      </c>
      <c r="AG12" s="16">
        <v>0</v>
      </c>
      <c r="AH12" s="17">
        <v>0</v>
      </c>
      <c r="AI12" s="17"/>
      <c r="AJ12" s="17">
        <v>0</v>
      </c>
      <c r="AK12" s="17"/>
      <c r="AL12" s="17">
        <v>0</v>
      </c>
      <c r="AM12" s="17">
        <v>0</v>
      </c>
      <c r="AN12" s="17"/>
      <c r="AO12" s="17"/>
      <c r="AP12" s="17"/>
      <c r="AQ12" s="17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R12" s="26"/>
    </row>
    <row r="13" spans="1:70" ht="18.75" customHeight="1" thickBot="1" x14ac:dyDescent="0.3">
      <c r="A13" s="15" t="s">
        <v>16</v>
      </c>
      <c r="B13" s="15" t="s">
        <v>13</v>
      </c>
      <c r="C13" s="15" t="s">
        <v>15</v>
      </c>
      <c r="D13" s="16">
        <v>0</v>
      </c>
      <c r="E13" s="16">
        <v>0.1133655770513676</v>
      </c>
      <c r="F13" s="16">
        <v>0</v>
      </c>
      <c r="G13" s="16"/>
      <c r="H13" s="16"/>
      <c r="I13" s="16">
        <v>0</v>
      </c>
      <c r="J13" s="16"/>
      <c r="K13" s="16"/>
      <c r="L13" s="16">
        <v>0</v>
      </c>
      <c r="M13" s="16"/>
      <c r="N13" s="16">
        <v>0</v>
      </c>
      <c r="O13" s="16">
        <v>0</v>
      </c>
      <c r="P13" s="16">
        <v>0</v>
      </c>
      <c r="Q13" s="16"/>
      <c r="R13" s="16"/>
      <c r="S13" s="16">
        <v>0</v>
      </c>
      <c r="T13" s="16"/>
      <c r="U13" s="16"/>
      <c r="V13" s="16"/>
      <c r="W13" s="16"/>
      <c r="X13" s="16">
        <v>0</v>
      </c>
      <c r="Y13" s="16"/>
      <c r="Z13" s="16"/>
      <c r="AA13" s="16">
        <v>0</v>
      </c>
      <c r="AB13" s="16">
        <v>0</v>
      </c>
      <c r="AC13" s="16"/>
      <c r="AD13" s="16"/>
      <c r="AE13" s="16">
        <v>0</v>
      </c>
      <c r="AF13" s="16">
        <v>0</v>
      </c>
      <c r="AG13" s="16">
        <v>1.5016483172122761</v>
      </c>
      <c r="AH13" s="17">
        <v>7.1406697813199332E-2</v>
      </c>
      <c r="AI13" s="17"/>
      <c r="AJ13" s="17">
        <v>0</v>
      </c>
      <c r="AK13" s="17"/>
      <c r="AL13" s="17"/>
      <c r="AM13" s="17"/>
      <c r="AN13" s="17"/>
      <c r="AO13" s="17"/>
      <c r="AP13" s="17"/>
      <c r="AQ13" s="17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R13" s="26"/>
    </row>
    <row r="14" spans="1:70" ht="18.75" customHeight="1" thickBot="1" x14ac:dyDescent="0.3">
      <c r="A14" s="15" t="s">
        <v>14</v>
      </c>
      <c r="B14" s="15" t="s">
        <v>40</v>
      </c>
      <c r="C14" s="15" t="s">
        <v>45</v>
      </c>
      <c r="D14" s="16"/>
      <c r="E14" s="16">
        <v>1.747483147333333</v>
      </c>
      <c r="F14" s="16"/>
      <c r="G14" s="16"/>
      <c r="H14" s="16"/>
      <c r="I14" s="16"/>
      <c r="J14" s="16"/>
      <c r="K14" s="16"/>
      <c r="L14" s="16"/>
      <c r="M14" s="16"/>
      <c r="N14" s="16"/>
      <c r="O14" s="16">
        <v>8.5290871000000004E-2</v>
      </c>
      <c r="P14" s="16">
        <v>4.2978019999999999E-3</v>
      </c>
      <c r="Q14" s="16"/>
      <c r="R14" s="16"/>
      <c r="S14" s="16"/>
      <c r="T14" s="16"/>
      <c r="U14" s="16"/>
      <c r="V14" s="16"/>
      <c r="W14" s="16"/>
      <c r="X14" s="16"/>
      <c r="Y14" s="16"/>
      <c r="Z14" s="16">
        <v>3.651418E-3</v>
      </c>
      <c r="AA14" s="16"/>
      <c r="AB14" s="16"/>
      <c r="AC14" s="16"/>
      <c r="AD14" s="16"/>
      <c r="AE14" s="16"/>
      <c r="AF14" s="16"/>
      <c r="AG14" s="16"/>
      <c r="AH14" s="17"/>
      <c r="AI14" s="17"/>
      <c r="AJ14" s="17"/>
      <c r="AK14" s="17"/>
      <c r="AL14" s="17">
        <v>1.0006082666666669E-2</v>
      </c>
      <c r="AM14" s="17">
        <v>8.2960233333333332E-5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R14" s="26"/>
    </row>
    <row r="15" spans="1:70" ht="19.5" customHeight="1" thickBot="1" x14ac:dyDescent="0.3">
      <c r="A15" s="15" t="s">
        <v>14</v>
      </c>
      <c r="B15" s="15" t="s">
        <v>40</v>
      </c>
      <c r="C15" s="15" t="s">
        <v>36</v>
      </c>
      <c r="D15" s="16"/>
      <c r="E15" s="16">
        <v>1.7474676012499999</v>
      </c>
      <c r="F15" s="16"/>
      <c r="G15" s="16"/>
      <c r="H15" s="16"/>
      <c r="I15" s="16"/>
      <c r="J15" s="16"/>
      <c r="K15" s="16"/>
      <c r="L15" s="16"/>
      <c r="M15" s="16"/>
      <c r="N15" s="16"/>
      <c r="O15" s="16">
        <v>8.5291162900000009E-2</v>
      </c>
      <c r="P15" s="16">
        <v>4.2978489499999996E-3</v>
      </c>
      <c r="Q15" s="16"/>
      <c r="R15" s="16"/>
      <c r="S15" s="16"/>
      <c r="T15" s="16"/>
      <c r="U15" s="16"/>
      <c r="V15" s="16"/>
      <c r="W15" s="16"/>
      <c r="X15" s="16"/>
      <c r="Y15" s="16"/>
      <c r="Z15" s="16">
        <v>3.6948376499999999E-3</v>
      </c>
      <c r="AA15" s="16"/>
      <c r="AB15" s="16"/>
      <c r="AC15" s="16"/>
      <c r="AD15" s="16"/>
      <c r="AE15" s="16"/>
      <c r="AF15" s="16"/>
      <c r="AG15" s="16"/>
      <c r="AH15" s="17"/>
      <c r="AI15" s="17"/>
      <c r="AJ15" s="17"/>
      <c r="AK15" s="17"/>
      <c r="AL15" s="17">
        <v>3.5342942350000003E-2</v>
      </c>
      <c r="AM15" s="17">
        <v>2.2061107300000001E-4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R15" s="26"/>
    </row>
    <row r="16" spans="1:70" ht="19.5" customHeight="1" thickBot="1" x14ac:dyDescent="0.3">
      <c r="A16" s="15" t="s">
        <v>14</v>
      </c>
      <c r="B16" s="15" t="s">
        <v>40</v>
      </c>
      <c r="C16" s="15" t="s">
        <v>37</v>
      </c>
      <c r="D16" s="16"/>
      <c r="E16" s="16">
        <v>1.747467276314286</v>
      </c>
      <c r="F16" s="16"/>
      <c r="G16" s="16"/>
      <c r="H16" s="16"/>
      <c r="I16" s="16"/>
      <c r="J16" s="16"/>
      <c r="K16" s="16"/>
      <c r="L16" s="16"/>
      <c r="M16" s="16"/>
      <c r="N16" s="16"/>
      <c r="O16" s="16">
        <v>8.529121837142857E-2</v>
      </c>
      <c r="P16" s="16">
        <v>4.2978311714285712E-3</v>
      </c>
      <c r="Q16" s="16"/>
      <c r="R16" s="16"/>
      <c r="S16" s="16"/>
      <c r="T16" s="16"/>
      <c r="U16" s="16"/>
      <c r="V16" s="16"/>
      <c r="W16" s="16"/>
      <c r="X16" s="16"/>
      <c r="Y16" s="16"/>
      <c r="Z16" s="16">
        <v>3.9622456857142854E-3</v>
      </c>
      <c r="AA16" s="16"/>
      <c r="AB16" s="16"/>
      <c r="AC16" s="16"/>
      <c r="AD16" s="16"/>
      <c r="AE16" s="16"/>
      <c r="AF16" s="16"/>
      <c r="AG16" s="16"/>
      <c r="AH16" s="17"/>
      <c r="AI16" s="17"/>
      <c r="AJ16" s="17"/>
      <c r="AK16" s="17"/>
      <c r="AL16" s="17">
        <v>4.9158257142857141E-4</v>
      </c>
      <c r="AM16" s="17">
        <v>2.537401942857142E-6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R16" s="26"/>
    </row>
    <row r="17" spans="1:70" ht="18.75" customHeight="1" thickBot="1" x14ac:dyDescent="0.3">
      <c r="A17" s="15" t="s">
        <v>14</v>
      </c>
      <c r="B17" s="15" t="s">
        <v>40</v>
      </c>
      <c r="C17" s="15" t="s">
        <v>38</v>
      </c>
      <c r="D17" s="16"/>
      <c r="E17" s="16">
        <v>1.7474725788800001</v>
      </c>
      <c r="F17" s="16"/>
      <c r="G17" s="16"/>
      <c r="H17" s="16"/>
      <c r="I17" s="16"/>
      <c r="J17" s="16"/>
      <c r="K17" s="16"/>
      <c r="L17" s="16"/>
      <c r="M17" s="16"/>
      <c r="N17" s="16"/>
      <c r="O17" s="16">
        <v>8.5291370679999992E-2</v>
      </c>
      <c r="P17" s="16">
        <v>4.29782064E-3</v>
      </c>
      <c r="Q17" s="16"/>
      <c r="R17" s="16"/>
      <c r="S17" s="16"/>
      <c r="T17" s="16"/>
      <c r="U17" s="16"/>
      <c r="V17" s="16"/>
      <c r="W17" s="16"/>
      <c r="X17" s="16"/>
      <c r="Y17" s="16"/>
      <c r="Z17" s="16">
        <v>3.9859451600000014E-3</v>
      </c>
      <c r="AA17" s="16"/>
      <c r="AB17" s="16"/>
      <c r="AC17" s="16"/>
      <c r="AD17" s="16"/>
      <c r="AE17" s="16"/>
      <c r="AF17" s="16"/>
      <c r="AG17" s="16"/>
      <c r="AH17" s="17"/>
      <c r="AI17" s="17"/>
      <c r="AJ17" s="17"/>
      <c r="AK17" s="17"/>
      <c r="AL17" s="17">
        <v>1.112266E-4</v>
      </c>
      <c r="AM17" s="17">
        <v>3.8265572E-7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R17" s="26"/>
    </row>
    <row r="18" spans="1:70" ht="18.75" customHeight="1" thickBot="1" x14ac:dyDescent="0.3">
      <c r="A18" s="15" t="s">
        <v>14</v>
      </c>
      <c r="B18" s="15" t="s">
        <v>40</v>
      </c>
      <c r="C18" s="15" t="s">
        <v>39</v>
      </c>
      <c r="D18" s="16"/>
      <c r="E18" s="16">
        <v>1.7474571990000001</v>
      </c>
      <c r="F18" s="16"/>
      <c r="G18" s="16"/>
      <c r="H18" s="16"/>
      <c r="I18" s="16"/>
      <c r="J18" s="16"/>
      <c r="K18" s="16"/>
      <c r="L18" s="16"/>
      <c r="M18" s="16"/>
      <c r="N18" s="16"/>
      <c r="O18" s="16">
        <v>8.5291107777777764E-2</v>
      </c>
      <c r="P18" s="16">
        <v>4.2978444444444451E-3</v>
      </c>
      <c r="Q18" s="16"/>
      <c r="R18" s="16"/>
      <c r="S18" s="16"/>
      <c r="T18" s="16"/>
      <c r="U18" s="16"/>
      <c r="V18" s="16"/>
      <c r="W18" s="16"/>
      <c r="X18" s="16"/>
      <c r="Y18" s="16"/>
      <c r="Z18" s="16">
        <v>3.9874198888888886E-3</v>
      </c>
      <c r="AA18" s="16"/>
      <c r="AB18" s="16"/>
      <c r="AC18" s="16"/>
      <c r="AD18" s="16"/>
      <c r="AE18" s="16"/>
      <c r="AF18" s="16"/>
      <c r="AG18" s="16"/>
      <c r="AH18" s="17"/>
      <c r="AI18" s="17"/>
      <c r="AJ18" s="17"/>
      <c r="AK18" s="17"/>
      <c r="AL18" s="17">
        <v>5.318087777777778E-5</v>
      </c>
      <c r="AM18" s="17">
        <v>1.2422499999999999E-7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R18" s="26"/>
    </row>
    <row r="19" spans="1:70" ht="18.75" customHeight="1" thickBot="1" x14ac:dyDescent="0.3">
      <c r="A19" s="15" t="s">
        <v>12</v>
      </c>
      <c r="B19" s="15" t="s">
        <v>40</v>
      </c>
      <c r="C19" s="15" t="s">
        <v>36</v>
      </c>
      <c r="D19" s="16"/>
      <c r="E19" s="16">
        <v>1.7058254113333331</v>
      </c>
      <c r="F19" s="16"/>
      <c r="G19" s="16"/>
      <c r="H19" s="16"/>
      <c r="I19" s="16"/>
      <c r="J19" s="16"/>
      <c r="K19" s="16"/>
      <c r="L19" s="16"/>
      <c r="M19" s="16"/>
      <c r="N19" s="16">
        <v>3.2147823333333338E-3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>
        <v>5.5177503333333329E-2</v>
      </c>
      <c r="Z19" s="16"/>
      <c r="AA19" s="16"/>
      <c r="AB19" s="16"/>
      <c r="AC19" s="16"/>
      <c r="AD19" s="16"/>
      <c r="AE19" s="16"/>
      <c r="AF19" s="16">
        <v>1.903965266666667E-2</v>
      </c>
      <c r="AG19" s="16"/>
      <c r="AH19" s="17"/>
      <c r="AI19" s="17"/>
      <c r="AJ19" s="17"/>
      <c r="AK19" s="17">
        <v>5.6988337333333333E-2</v>
      </c>
      <c r="AL19" s="17">
        <v>7.1930273333333334E-3</v>
      </c>
      <c r="AM19" s="17">
        <v>4.2918900000000007E-5</v>
      </c>
      <c r="AN19" s="17"/>
      <c r="AO19" s="17"/>
      <c r="AP19" s="17"/>
      <c r="AQ19" s="17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R19" s="26"/>
    </row>
    <row r="20" spans="1:70" ht="18.75" customHeight="1" thickBot="1" x14ac:dyDescent="0.3">
      <c r="A20" s="15" t="s">
        <v>12</v>
      </c>
      <c r="B20" s="15" t="s">
        <v>40</v>
      </c>
      <c r="C20" s="15" t="s">
        <v>37</v>
      </c>
      <c r="D20" s="16"/>
      <c r="E20" s="16">
        <v>1.7058439592352941</v>
      </c>
      <c r="F20" s="16"/>
      <c r="G20" s="16"/>
      <c r="H20" s="16"/>
      <c r="I20" s="16"/>
      <c r="J20" s="16"/>
      <c r="K20" s="16"/>
      <c r="L20" s="16"/>
      <c r="M20" s="16"/>
      <c r="N20" s="16">
        <v>3.2147862352941178E-3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>
        <v>5.5177408235294108E-2</v>
      </c>
      <c r="Z20" s="16"/>
      <c r="AA20" s="16"/>
      <c r="AB20" s="16"/>
      <c r="AC20" s="16"/>
      <c r="AD20" s="16"/>
      <c r="AE20" s="16"/>
      <c r="AF20" s="16">
        <v>1.9039491882352939E-2</v>
      </c>
      <c r="AG20" s="16"/>
      <c r="AH20" s="17"/>
      <c r="AI20" s="17"/>
      <c r="AJ20" s="17"/>
      <c r="AK20" s="17">
        <v>5.6988490352941179E-2</v>
      </c>
      <c r="AL20" s="17">
        <v>7.9190535294117648E-4</v>
      </c>
      <c r="AM20" s="17">
        <v>4.0952723529411756E-6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R20" s="26"/>
    </row>
    <row r="21" spans="1:70" ht="18.75" customHeight="1" thickBot="1" x14ac:dyDescent="0.3">
      <c r="A21" s="15" t="s">
        <v>12</v>
      </c>
      <c r="B21" s="15" t="s">
        <v>40</v>
      </c>
      <c r="C21" s="15" t="s">
        <v>38</v>
      </c>
      <c r="D21" s="16"/>
      <c r="E21" s="16">
        <v>1.7058431281111111</v>
      </c>
      <c r="F21" s="16"/>
      <c r="G21" s="16"/>
      <c r="H21" s="16"/>
      <c r="I21" s="16"/>
      <c r="J21" s="16"/>
      <c r="K21" s="16"/>
      <c r="L21" s="16"/>
      <c r="M21" s="16"/>
      <c r="N21" s="16">
        <v>3.2147766111111109E-3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>
        <v>5.5177409111111103E-2</v>
      </c>
      <c r="Z21" s="16"/>
      <c r="AA21" s="16"/>
      <c r="AB21" s="16"/>
      <c r="AC21" s="16"/>
      <c r="AD21" s="16"/>
      <c r="AE21" s="16"/>
      <c r="AF21" s="16">
        <v>1.903948744444444E-2</v>
      </c>
      <c r="AG21" s="16"/>
      <c r="AH21" s="17"/>
      <c r="AI21" s="17"/>
      <c r="AJ21" s="17"/>
      <c r="AK21" s="17">
        <v>5.6988436777777783E-2</v>
      </c>
      <c r="AL21" s="17">
        <v>1.329076388888889E-4</v>
      </c>
      <c r="AM21" s="17">
        <v>4.5402638888888879E-7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R21" s="26"/>
    </row>
    <row r="22" spans="1:70" ht="18.75" customHeight="1" thickBot="1" x14ac:dyDescent="0.3">
      <c r="A22" s="15" t="s">
        <v>12</v>
      </c>
      <c r="B22" s="15" t="s">
        <v>40</v>
      </c>
      <c r="C22" s="15" t="s">
        <v>39</v>
      </c>
      <c r="D22" s="16"/>
      <c r="E22" s="16">
        <v>1.705848962142857</v>
      </c>
      <c r="F22" s="16"/>
      <c r="G22" s="16"/>
      <c r="H22" s="16"/>
      <c r="I22" s="16"/>
      <c r="J22" s="16"/>
      <c r="K22" s="16"/>
      <c r="L22" s="16"/>
      <c r="M22" s="16"/>
      <c r="N22" s="16">
        <v>3.2147944285714279E-3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>
        <v>5.5177084714285722E-2</v>
      </c>
      <c r="Z22" s="16"/>
      <c r="AA22" s="16"/>
      <c r="AB22" s="16"/>
      <c r="AC22" s="16"/>
      <c r="AD22" s="16"/>
      <c r="AE22" s="16"/>
      <c r="AF22" s="16">
        <v>1.903949928571428E-2</v>
      </c>
      <c r="AG22" s="16"/>
      <c r="AH22" s="17"/>
      <c r="AI22" s="17"/>
      <c r="AJ22" s="17"/>
      <c r="AK22" s="17">
        <v>5.6988479428571437E-2</v>
      </c>
      <c r="AL22" s="17">
        <v>1.5823754285714279E-4</v>
      </c>
      <c r="AM22" s="17">
        <v>3.9447985714285712E-7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R22" s="26"/>
    </row>
    <row r="23" spans="1:70" ht="18.75" customHeight="1" thickBot="1" x14ac:dyDescent="0.3">
      <c r="A23" s="15" t="s">
        <v>12</v>
      </c>
      <c r="B23" s="15" t="s">
        <v>40</v>
      </c>
      <c r="C23" s="15" t="s">
        <v>47</v>
      </c>
      <c r="D23" s="16"/>
      <c r="E23" s="16">
        <v>1.705839675</v>
      </c>
      <c r="F23" s="16"/>
      <c r="G23" s="16"/>
      <c r="H23" s="16"/>
      <c r="I23" s="16"/>
      <c r="J23" s="16"/>
      <c r="K23" s="16"/>
      <c r="L23" s="16"/>
      <c r="M23" s="16"/>
      <c r="N23" s="16">
        <v>3.2147635E-3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>
        <v>5.5178027999999997E-2</v>
      </c>
      <c r="Z23" s="16"/>
      <c r="AA23" s="16"/>
      <c r="AB23" s="16"/>
      <c r="AC23" s="16"/>
      <c r="AD23" s="16"/>
      <c r="AE23" s="16"/>
      <c r="AF23" s="16">
        <v>1.9039469E-2</v>
      </c>
      <c r="AG23" s="16"/>
      <c r="AH23" s="17"/>
      <c r="AI23" s="17"/>
      <c r="AJ23" s="17"/>
      <c r="AK23" s="17">
        <v>5.6988441500000001E-2</v>
      </c>
      <c r="AL23" s="17">
        <v>7.2772800000000002E-5</v>
      </c>
      <c r="AM23" s="17">
        <v>1.2615635000000001E-7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R23" s="26"/>
    </row>
    <row r="24" spans="1:70" ht="18.75" customHeight="1" thickBot="1" x14ac:dyDescent="0.3">
      <c r="A24" s="15" t="s">
        <v>19</v>
      </c>
      <c r="B24" s="15" t="s">
        <v>40</v>
      </c>
      <c r="C24" s="15" t="s">
        <v>48</v>
      </c>
      <c r="D24" s="16"/>
      <c r="E24" s="16">
        <v>1.1091141229999999</v>
      </c>
      <c r="F24" s="16"/>
      <c r="G24" s="16"/>
      <c r="H24" s="16"/>
      <c r="I24" s="16"/>
      <c r="J24" s="16"/>
      <c r="K24" s="16"/>
      <c r="L24" s="16"/>
      <c r="M24" s="16"/>
      <c r="N24" s="16">
        <v>1.4615107999999999E-3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>
        <v>3.3593184600000013E-2</v>
      </c>
      <c r="Z24" s="16"/>
      <c r="AA24" s="16"/>
      <c r="AB24" s="16"/>
      <c r="AC24" s="16"/>
      <c r="AD24" s="16"/>
      <c r="AE24" s="16"/>
      <c r="AF24" s="16">
        <v>1.14260218E-2</v>
      </c>
      <c r="AG24" s="16">
        <v>0.56395642199999996</v>
      </c>
      <c r="AH24" s="17">
        <v>0</v>
      </c>
      <c r="AI24" s="17">
        <v>2.6777834E-2</v>
      </c>
      <c r="AJ24" s="17"/>
      <c r="AK24" s="17">
        <v>3.5999945399999997E-2</v>
      </c>
      <c r="AL24" s="17">
        <v>2.67050458E-2</v>
      </c>
      <c r="AM24" s="17">
        <v>4.4454953999999999E-4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R24" s="26"/>
    </row>
    <row r="25" spans="1:70" ht="18.75" customHeight="1" thickBot="1" x14ac:dyDescent="0.3">
      <c r="A25" s="15" t="s">
        <v>19</v>
      </c>
      <c r="B25" s="15" t="s">
        <v>40</v>
      </c>
      <c r="C25" s="15" t="s">
        <v>49</v>
      </c>
      <c r="D25" s="16"/>
      <c r="E25" s="16">
        <v>1.1091178045000001</v>
      </c>
      <c r="F25" s="16"/>
      <c r="G25" s="16"/>
      <c r="H25" s="16"/>
      <c r="I25" s="16"/>
      <c r="J25" s="16"/>
      <c r="K25" s="16"/>
      <c r="L25" s="16"/>
      <c r="M25" s="16"/>
      <c r="N25" s="16">
        <v>1.461552625E-3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>
        <v>3.3592747375000002E-2</v>
      </c>
      <c r="Z25" s="16"/>
      <c r="AA25" s="16"/>
      <c r="AB25" s="16"/>
      <c r="AC25" s="16"/>
      <c r="AD25" s="16"/>
      <c r="AE25" s="16"/>
      <c r="AF25" s="16">
        <v>1.1425976062500001E-2</v>
      </c>
      <c r="AG25" s="16">
        <v>0.56395131249999997</v>
      </c>
      <c r="AH25" s="17">
        <v>1.14246734375E-2</v>
      </c>
      <c r="AI25" s="17">
        <v>1.5596421875E-2</v>
      </c>
      <c r="AJ25" s="17"/>
      <c r="AK25" s="17">
        <v>3.5999904625000002E-2</v>
      </c>
      <c r="AL25" s="17">
        <v>1.6146733124999999E-3</v>
      </c>
      <c r="AM25" s="17">
        <v>2.2330789999999999E-5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R25" s="26"/>
    </row>
    <row r="26" spans="1:70" ht="18.75" customHeight="1" thickBot="1" x14ac:dyDescent="0.3">
      <c r="A26" s="15" t="s">
        <v>19</v>
      </c>
      <c r="B26" s="15" t="s">
        <v>40</v>
      </c>
      <c r="C26" s="15" t="s">
        <v>45</v>
      </c>
      <c r="D26" s="16"/>
      <c r="E26" s="16">
        <v>1.109113873133333</v>
      </c>
      <c r="F26" s="16"/>
      <c r="G26" s="16"/>
      <c r="H26" s="16"/>
      <c r="I26" s="16"/>
      <c r="J26" s="16"/>
      <c r="K26" s="16"/>
      <c r="L26" s="16"/>
      <c r="M26" s="16"/>
      <c r="N26" s="16">
        <v>1.4615562E-3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>
        <v>3.3592821333333328E-2</v>
      </c>
      <c r="Z26" s="16"/>
      <c r="AA26" s="16"/>
      <c r="AB26" s="16"/>
      <c r="AC26" s="16"/>
      <c r="AD26" s="16"/>
      <c r="AE26" s="16"/>
      <c r="AF26" s="16">
        <v>1.142605153333333E-2</v>
      </c>
      <c r="AG26" s="16">
        <v>0.56395108459999999</v>
      </c>
      <c r="AH26" s="17">
        <v>2.110228006666667E-2</v>
      </c>
      <c r="AI26" s="17">
        <v>5.6754625333333341E-3</v>
      </c>
      <c r="AJ26" s="17"/>
      <c r="AK26" s="17">
        <v>3.6000157400000003E-2</v>
      </c>
      <c r="AL26" s="17">
        <v>2.74166E-4</v>
      </c>
      <c r="AM26" s="17">
        <v>2.6206906666666662E-6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R26" s="26"/>
    </row>
    <row r="27" spans="1:70" ht="18.75" customHeight="1" thickBot="1" x14ac:dyDescent="0.3">
      <c r="A27" s="15" t="s">
        <v>19</v>
      </c>
      <c r="B27" s="15" t="s">
        <v>40</v>
      </c>
      <c r="C27" s="15" t="s">
        <v>36</v>
      </c>
      <c r="D27" s="16"/>
      <c r="E27" s="16">
        <v>1.1091168203571431</v>
      </c>
      <c r="F27" s="16"/>
      <c r="G27" s="16"/>
      <c r="H27" s="16"/>
      <c r="I27" s="16"/>
      <c r="J27" s="16"/>
      <c r="K27" s="16"/>
      <c r="L27" s="16"/>
      <c r="M27" s="16"/>
      <c r="N27" s="16">
        <v>1.4615561428571429E-3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>
        <v>3.3593201928571431E-2</v>
      </c>
      <c r="Z27" s="16"/>
      <c r="AA27" s="16"/>
      <c r="AB27" s="16"/>
      <c r="AC27" s="16"/>
      <c r="AD27" s="16"/>
      <c r="AE27" s="16"/>
      <c r="AF27" s="16">
        <v>1.142599314285714E-2</v>
      </c>
      <c r="AG27" s="16">
        <v>0.56395060885714288</v>
      </c>
      <c r="AH27" s="17">
        <v>2.220479978571429E-2</v>
      </c>
      <c r="AI27" s="17">
        <v>4.5732168571428564E-3</v>
      </c>
      <c r="AJ27" s="17"/>
      <c r="AK27" s="17">
        <v>3.5999876714285707E-2</v>
      </c>
      <c r="AL27" s="17">
        <v>1.112760285714286E-4</v>
      </c>
      <c r="AM27" s="17">
        <v>7.3929299999999997E-7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R27" s="26"/>
    </row>
    <row r="28" spans="1:70" ht="18.75" customHeight="1" thickBot="1" x14ac:dyDescent="0.3">
      <c r="A28" s="15" t="s">
        <v>35</v>
      </c>
      <c r="B28" s="15" t="s">
        <v>40</v>
      </c>
      <c r="C28" s="15" t="s">
        <v>37</v>
      </c>
      <c r="D28" s="16"/>
      <c r="E28" s="16"/>
      <c r="F28" s="16"/>
      <c r="G28" s="16">
        <v>0</v>
      </c>
      <c r="H28" s="16">
        <v>0</v>
      </c>
      <c r="I28" s="16">
        <v>3.350000000000001</v>
      </c>
      <c r="J28" s="16">
        <v>0</v>
      </c>
      <c r="K28" s="16">
        <v>1.2222857142857139E-4</v>
      </c>
      <c r="L28" s="16">
        <v>3.107142857142857E-6</v>
      </c>
      <c r="M28" s="16">
        <v>7.8757142857142862E-8</v>
      </c>
      <c r="N28" s="16"/>
      <c r="O28" s="16"/>
      <c r="P28" s="16"/>
      <c r="Q28" s="16">
        <v>0</v>
      </c>
      <c r="R28" s="16">
        <v>0</v>
      </c>
      <c r="S28" s="16">
        <v>0.20399999999999999</v>
      </c>
      <c r="T28" s="16">
        <v>1.3342857142857141E-2</v>
      </c>
      <c r="U28" s="16">
        <v>0</v>
      </c>
      <c r="V28" s="16">
        <v>0</v>
      </c>
      <c r="W28" s="16">
        <v>1.7242857142857141E-8</v>
      </c>
      <c r="X28" s="16"/>
      <c r="Y28" s="16"/>
      <c r="Z28" s="16"/>
      <c r="AA28" s="16"/>
      <c r="AB28" s="16"/>
      <c r="AC28" s="16">
        <v>0</v>
      </c>
      <c r="AD28" s="16">
        <v>3.0599999999999999E-6</v>
      </c>
      <c r="AE28" s="16"/>
      <c r="AF28" s="16"/>
      <c r="AG28" s="16"/>
      <c r="AH28" s="17"/>
      <c r="AI28" s="17"/>
      <c r="AJ28" s="17"/>
      <c r="AK28" s="17"/>
      <c r="AL28" s="17">
        <v>1.9087142857142859E-3</v>
      </c>
      <c r="AM28" s="17">
        <v>4.0381428571428566E-6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R28" s="26"/>
    </row>
    <row r="29" spans="1:70" ht="18.75" customHeight="1" thickBot="1" x14ac:dyDescent="0.3">
      <c r="A29" s="15" t="s">
        <v>35</v>
      </c>
      <c r="B29" s="15" t="s">
        <v>40</v>
      </c>
      <c r="C29" s="15" t="s">
        <v>38</v>
      </c>
      <c r="D29" s="16"/>
      <c r="E29" s="16"/>
      <c r="F29" s="16"/>
      <c r="G29" s="16">
        <v>0</v>
      </c>
      <c r="H29" s="16">
        <v>0.70073684332157893</v>
      </c>
      <c r="I29" s="16">
        <v>2.2484736842105271</v>
      </c>
      <c r="J29" s="16">
        <v>0</v>
      </c>
      <c r="K29" s="16">
        <v>1.7506639999999999E-5</v>
      </c>
      <c r="L29" s="16">
        <v>7.2647368421052632E-7</v>
      </c>
      <c r="M29" s="16">
        <v>6.5426315789473686E-9</v>
      </c>
      <c r="N29" s="16"/>
      <c r="O29" s="16"/>
      <c r="P29" s="16"/>
      <c r="Q29" s="16">
        <v>6.4736842105263159E-10</v>
      </c>
      <c r="R29" s="16">
        <v>8.9642105263157898E-3</v>
      </c>
      <c r="S29" s="16">
        <v>0.1239436842105263</v>
      </c>
      <c r="T29" s="16">
        <v>1.3457894736842099E-2</v>
      </c>
      <c r="U29" s="16">
        <v>2.1747368421052629E-10</v>
      </c>
      <c r="V29" s="16">
        <v>0</v>
      </c>
      <c r="W29" s="16">
        <v>4.7721052631578951E-9</v>
      </c>
      <c r="X29" s="16"/>
      <c r="Y29" s="16"/>
      <c r="Z29" s="16"/>
      <c r="AA29" s="16"/>
      <c r="AB29" s="16"/>
      <c r="AC29" s="16">
        <v>1.226315789473684E-9</v>
      </c>
      <c r="AD29" s="16">
        <v>4.3357894736842099E-7</v>
      </c>
      <c r="AE29" s="16"/>
      <c r="AF29" s="16"/>
      <c r="AG29" s="16"/>
      <c r="AH29" s="17"/>
      <c r="AI29" s="17"/>
      <c r="AJ29" s="17"/>
      <c r="AK29" s="17"/>
      <c r="AL29" s="17">
        <v>6.9484210526315796E-5</v>
      </c>
      <c r="AM29" s="17">
        <v>8.9152631578947366E-8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R29" s="26"/>
    </row>
    <row r="30" spans="1:70" ht="18.75" customHeight="1" thickBot="1" x14ac:dyDescent="0.3">
      <c r="A30" s="15" t="s">
        <v>35</v>
      </c>
      <c r="B30" s="15" t="s">
        <v>40</v>
      </c>
      <c r="C30" s="15" t="s">
        <v>39</v>
      </c>
      <c r="D30" s="16"/>
      <c r="E30" s="16"/>
      <c r="F30" s="16"/>
      <c r="G30" s="16">
        <v>6.7541249999999997E-2</v>
      </c>
      <c r="H30" s="16">
        <v>1.9175</v>
      </c>
      <c r="I30" s="16">
        <v>8.8052999999999992E-2</v>
      </c>
      <c r="J30" s="16">
        <v>1.4125E-7</v>
      </c>
      <c r="K30" s="16">
        <v>1.7962500000000001E-9</v>
      </c>
      <c r="L30" s="16">
        <v>0</v>
      </c>
      <c r="M30" s="16">
        <v>0</v>
      </c>
      <c r="N30" s="16"/>
      <c r="O30" s="16"/>
      <c r="P30" s="16"/>
      <c r="Q30" s="16">
        <v>1.60125E-9</v>
      </c>
      <c r="R30" s="16">
        <v>2.2487500000000001E-2</v>
      </c>
      <c r="S30" s="16">
        <v>2.9510712499999999E-3</v>
      </c>
      <c r="T30" s="16">
        <v>1.35E-2</v>
      </c>
      <c r="U30" s="16">
        <v>1.5269475000000001E-6</v>
      </c>
      <c r="V30" s="16">
        <v>1.0137499999999999E-9</v>
      </c>
      <c r="W30" s="16">
        <v>0</v>
      </c>
      <c r="X30" s="16"/>
      <c r="Y30" s="16"/>
      <c r="Z30" s="16"/>
      <c r="AA30" s="16"/>
      <c r="AB30" s="16"/>
      <c r="AC30" s="16">
        <v>2.9012500000000001E-9</v>
      </c>
      <c r="AD30" s="16">
        <v>0</v>
      </c>
      <c r="AE30" s="16"/>
      <c r="AF30" s="16"/>
      <c r="AG30" s="16"/>
      <c r="AH30" s="17"/>
      <c r="AI30" s="17"/>
      <c r="AJ30" s="17"/>
      <c r="AK30" s="17"/>
      <c r="AL30" s="17">
        <v>0</v>
      </c>
      <c r="AM30" s="17">
        <v>0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R30" s="26"/>
    </row>
    <row r="31" spans="1:70" ht="18.75" customHeight="1" thickBot="1" x14ac:dyDescent="0.3">
      <c r="A31" s="15" t="s">
        <v>96</v>
      </c>
      <c r="B31" s="15" t="s">
        <v>69</v>
      </c>
      <c r="C31" s="15" t="s">
        <v>15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7"/>
      <c r="AI31" s="17"/>
      <c r="AJ31" s="17"/>
      <c r="AK31" s="17"/>
      <c r="AL31" s="17"/>
      <c r="AM31" s="17"/>
      <c r="AN31" s="17">
        <v>0</v>
      </c>
      <c r="AO31" s="17">
        <v>0</v>
      </c>
      <c r="AP31" s="17">
        <v>0</v>
      </c>
      <c r="AQ31" s="17">
        <v>0</v>
      </c>
      <c r="AR31" s="17">
        <v>1.4999999999999999E-4</v>
      </c>
      <c r="AS31" s="17">
        <v>0</v>
      </c>
      <c r="AT31" s="17">
        <v>0.17500000000000002</v>
      </c>
      <c r="AU31" s="17">
        <v>0</v>
      </c>
      <c r="AV31" s="17">
        <v>0</v>
      </c>
      <c r="AW31" s="17">
        <v>0.67147499999999993</v>
      </c>
      <c r="AX31" s="17">
        <v>0</v>
      </c>
      <c r="AY31" s="17">
        <v>0</v>
      </c>
      <c r="AZ31" s="17">
        <v>0</v>
      </c>
      <c r="BA31" s="17">
        <v>2.2499999999999999E-2</v>
      </c>
      <c r="BB31" s="17">
        <v>0.01</v>
      </c>
      <c r="BC31" s="17">
        <v>5.0000000000000001E-4</v>
      </c>
      <c r="BD31" s="17">
        <v>0</v>
      </c>
      <c r="BE31" s="17">
        <v>0.115</v>
      </c>
      <c r="BF31" s="17">
        <v>0</v>
      </c>
      <c r="BG31" s="17">
        <v>2.2499999999999999E-4</v>
      </c>
      <c r="BH31" s="17">
        <v>0</v>
      </c>
      <c r="BI31" s="17">
        <v>1.4999999999999999E-4</v>
      </c>
      <c r="BJ31">
        <v>5.0000000000000001E-3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s="26"/>
    </row>
    <row r="32" spans="1:70" ht="18.75" customHeight="1" thickBot="1" x14ac:dyDescent="0.3">
      <c r="A32" s="15" t="s">
        <v>66</v>
      </c>
      <c r="B32" s="15" t="s">
        <v>69</v>
      </c>
      <c r="C32" s="15" t="s">
        <v>15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7"/>
      <c r="AI32" s="17"/>
      <c r="AJ32" s="17"/>
      <c r="AK32" s="17"/>
      <c r="AL32" s="17"/>
      <c r="AM32" s="17"/>
      <c r="AN32" s="17">
        <v>0.93495000000000006</v>
      </c>
      <c r="AO32" s="17">
        <v>4.2500000000000003E-3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0.04</v>
      </c>
      <c r="AW32" s="17">
        <v>7.5000000000000002E-4</v>
      </c>
      <c r="AX32" s="17">
        <v>0</v>
      </c>
      <c r="AY32" s="17">
        <v>0.01</v>
      </c>
      <c r="AZ32" s="17">
        <v>5.2500000000000003E-3</v>
      </c>
      <c r="BA32" s="17">
        <v>0</v>
      </c>
      <c r="BB32" s="17">
        <v>1.25E-3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>
        <v>5.9999999999999995E-4</v>
      </c>
      <c r="BK32">
        <v>0</v>
      </c>
      <c r="BL32">
        <v>0</v>
      </c>
      <c r="BM32">
        <v>5.0000000000000001E-4</v>
      </c>
      <c r="BN32">
        <v>0</v>
      </c>
      <c r="BO32">
        <v>0</v>
      </c>
      <c r="BP32">
        <v>1.1999999999999999E-3</v>
      </c>
      <c r="BQ32">
        <v>1.25E-3</v>
      </c>
      <c r="BR32" s="26" t="s">
        <v>116</v>
      </c>
    </row>
    <row r="33" spans="1:70" ht="18.75" customHeight="1" thickBot="1" x14ac:dyDescent="0.3">
      <c r="A33" s="15" t="s">
        <v>20</v>
      </c>
      <c r="B33" s="15" t="s">
        <v>69</v>
      </c>
      <c r="C33" s="15" t="s">
        <v>15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7"/>
      <c r="AI33" s="17"/>
      <c r="AJ33" s="17"/>
      <c r="AK33" s="17"/>
      <c r="AL33" s="17"/>
      <c r="AM33" s="17"/>
      <c r="AN33" s="17">
        <v>0.94374999999999998</v>
      </c>
      <c r="AO33" s="17">
        <v>3.0000000000000001E-3</v>
      </c>
      <c r="AP33" s="17">
        <v>0</v>
      </c>
      <c r="AQ33" s="17">
        <v>0</v>
      </c>
      <c r="AR33" s="17">
        <v>0</v>
      </c>
      <c r="AS33" s="17">
        <v>0</v>
      </c>
      <c r="AT33" s="17">
        <v>2.5000000000000001E-4</v>
      </c>
      <c r="AU33" s="17">
        <v>0</v>
      </c>
      <c r="AV33" s="17">
        <v>3.2000000000000001E-2</v>
      </c>
      <c r="AW33" s="17">
        <v>5.0000000000000001E-4</v>
      </c>
      <c r="AX33" s="17">
        <v>0</v>
      </c>
      <c r="AY33" s="17">
        <v>9.5000000000000015E-3</v>
      </c>
      <c r="AZ33" s="17">
        <v>5.2500000000000003E-3</v>
      </c>
      <c r="BA33" s="17">
        <v>0</v>
      </c>
      <c r="BB33" s="17">
        <v>2.5000000000000001E-3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>
        <v>4.0000000000000002E-4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1.1000000000000001E-3</v>
      </c>
      <c r="BQ33">
        <v>1.7499999999999998E-3</v>
      </c>
      <c r="BR33" s="26" t="s">
        <v>117</v>
      </c>
    </row>
    <row r="34" spans="1:70" ht="18.75" customHeight="1" thickBot="1" x14ac:dyDescent="0.3">
      <c r="A34" s="15" t="s">
        <v>14</v>
      </c>
      <c r="B34" s="15" t="s">
        <v>69</v>
      </c>
      <c r="C34" s="15" t="s">
        <v>15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7"/>
      <c r="AI34" s="17"/>
      <c r="AJ34" s="17"/>
      <c r="AK34" s="17"/>
      <c r="AL34" s="17"/>
      <c r="AM34" s="17"/>
      <c r="AN34" s="17">
        <v>0.92754999999999999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6.3E-2</v>
      </c>
      <c r="AW34" s="17">
        <v>1.5E-3</v>
      </c>
      <c r="AX34" s="17">
        <v>0</v>
      </c>
      <c r="AY34" s="17">
        <v>0</v>
      </c>
      <c r="AZ34" s="17">
        <v>1E-4</v>
      </c>
      <c r="BA34" s="17">
        <v>0</v>
      </c>
      <c r="BB34" s="17">
        <v>3.0000000000000005E-3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>
        <v>1E-3</v>
      </c>
      <c r="BK34">
        <v>0</v>
      </c>
      <c r="BL34">
        <v>0</v>
      </c>
      <c r="BM34">
        <v>6.0000000000000006E-4</v>
      </c>
      <c r="BN34">
        <v>1E-3</v>
      </c>
      <c r="BO34">
        <v>0</v>
      </c>
      <c r="BP34">
        <v>1.7499999999999998E-3</v>
      </c>
      <c r="BQ34">
        <v>5.0000000000000001E-4</v>
      </c>
      <c r="BR34" s="26" t="s">
        <v>118</v>
      </c>
    </row>
    <row r="35" spans="1:70" ht="18.75" customHeight="1" thickBot="1" x14ac:dyDescent="0.3">
      <c r="A35" s="15" t="s">
        <v>17</v>
      </c>
      <c r="B35" s="15" t="s">
        <v>69</v>
      </c>
      <c r="C35" s="15" t="s">
        <v>15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7"/>
      <c r="AI35" s="17"/>
      <c r="AJ35" s="17"/>
      <c r="AK35" s="17"/>
      <c r="AL35" s="17"/>
      <c r="AM35" s="17"/>
      <c r="AN35" s="17">
        <v>0.9425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1.25E-3</v>
      </c>
      <c r="AU35" s="17">
        <v>0</v>
      </c>
      <c r="AV35" s="17">
        <v>5.0000000000000001E-4</v>
      </c>
      <c r="AW35" s="17">
        <v>2E-3</v>
      </c>
      <c r="AX35" s="17">
        <v>0</v>
      </c>
      <c r="AY35" s="17">
        <v>0</v>
      </c>
      <c r="AZ35" s="17">
        <v>5.0499999999999996E-2</v>
      </c>
      <c r="BA35" s="17">
        <v>0</v>
      </c>
      <c r="BB35" s="17">
        <v>1.25E-3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>
        <v>1.5E-3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5.0000000000000001E-4</v>
      </c>
      <c r="BR35" s="26" t="s">
        <v>119</v>
      </c>
    </row>
    <row r="36" spans="1:70" ht="18.75" customHeight="1" thickBot="1" x14ac:dyDescent="0.3">
      <c r="A36" s="15" t="s">
        <v>97</v>
      </c>
      <c r="B36" s="15" t="s">
        <v>69</v>
      </c>
      <c r="C36" s="15" t="s">
        <v>15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7"/>
      <c r="AI36" s="17"/>
      <c r="AJ36" s="17"/>
      <c r="AK36" s="17"/>
      <c r="AL36" s="17"/>
      <c r="AM36" s="17"/>
      <c r="AN36" s="17">
        <v>0.97305000000000008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1.9499999999999999E-3</v>
      </c>
      <c r="AU36" s="17">
        <v>0</v>
      </c>
      <c r="AV36" s="17">
        <v>2.7500000000000003E-3</v>
      </c>
      <c r="AW36" s="17">
        <v>3.4999999999999996E-3</v>
      </c>
      <c r="AX36" s="17">
        <v>0</v>
      </c>
      <c r="AY36" s="17">
        <v>0</v>
      </c>
      <c r="AZ36" s="17">
        <v>0.01</v>
      </c>
      <c r="BA36" s="17">
        <v>0</v>
      </c>
      <c r="BB36" s="17">
        <v>7.5000000000000002E-4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>
        <v>6.000000000000001E-3</v>
      </c>
      <c r="BK36">
        <v>0</v>
      </c>
      <c r="BL36">
        <v>0</v>
      </c>
      <c r="BM36">
        <v>7.5000000000000002E-4</v>
      </c>
      <c r="BN36">
        <v>0</v>
      </c>
      <c r="BO36">
        <v>0</v>
      </c>
      <c r="BP36">
        <v>0</v>
      </c>
      <c r="BQ36">
        <v>1.25E-3</v>
      </c>
      <c r="BR36" s="26" t="s">
        <v>118</v>
      </c>
    </row>
    <row r="37" spans="1:70" ht="18.75" customHeight="1" thickBot="1" x14ac:dyDescent="0.3">
      <c r="A37" s="15" t="s">
        <v>65</v>
      </c>
      <c r="B37" s="15" t="s">
        <v>69</v>
      </c>
      <c r="C37" s="15" t="s">
        <v>15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7"/>
      <c r="AI37" s="17"/>
      <c r="AJ37" s="17"/>
      <c r="AK37" s="17"/>
      <c r="AL37" s="17"/>
      <c r="AM37" s="17"/>
      <c r="AN37" s="17">
        <v>0.89370000000000005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2.3E-3</v>
      </c>
      <c r="AU37" s="17">
        <v>0</v>
      </c>
      <c r="AV37" s="17">
        <v>1.6E-2</v>
      </c>
      <c r="AW37" s="17">
        <v>2.5000000000000001E-3</v>
      </c>
      <c r="AX37" s="17">
        <v>0</v>
      </c>
      <c r="AY37" s="17">
        <v>0</v>
      </c>
      <c r="AZ37" s="17">
        <v>2.5000000000000001E-2</v>
      </c>
      <c r="BA37" s="17">
        <v>0</v>
      </c>
      <c r="BB37" s="17">
        <v>1.5E-3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>
        <v>2E-3</v>
      </c>
      <c r="BK37">
        <v>0</v>
      </c>
      <c r="BL37">
        <v>0</v>
      </c>
      <c r="BM37">
        <v>1E-3</v>
      </c>
      <c r="BN37">
        <v>0</v>
      </c>
      <c r="BO37">
        <v>0</v>
      </c>
      <c r="BP37">
        <v>0</v>
      </c>
      <c r="BQ37">
        <v>5.5999999999999994E-2</v>
      </c>
      <c r="BR37" s="26" t="s">
        <v>118</v>
      </c>
    </row>
    <row r="38" spans="1:70" ht="18.75" customHeight="1" thickBot="1" x14ac:dyDescent="0.3">
      <c r="A38" s="15" t="s">
        <v>98</v>
      </c>
      <c r="B38" s="15" t="s">
        <v>69</v>
      </c>
      <c r="C38" s="15" t="s">
        <v>15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7"/>
      <c r="AI38" s="17"/>
      <c r="AJ38" s="17"/>
      <c r="AK38" s="17"/>
      <c r="AL38" s="17"/>
      <c r="AM38" s="17"/>
      <c r="AN38" s="17">
        <v>0.18850000000000003</v>
      </c>
      <c r="AO38" s="17">
        <v>0</v>
      </c>
      <c r="AP38" s="17">
        <v>0</v>
      </c>
      <c r="AQ38" s="17">
        <v>0</v>
      </c>
      <c r="AR38" s="17">
        <v>0.71188474221739839</v>
      </c>
      <c r="AS38" s="17">
        <v>1.4952171334431635E-2</v>
      </c>
      <c r="AT38" s="17">
        <v>2.5000000000000001E-4</v>
      </c>
      <c r="AU38" s="17">
        <v>0</v>
      </c>
      <c r="AV38" s="17">
        <v>1.0000000000000002E-4</v>
      </c>
      <c r="AW38" s="17">
        <v>4.0000000000000007E-4</v>
      </c>
      <c r="AX38" s="17">
        <v>2.5194412778215047E-2</v>
      </c>
      <c r="AY38" s="17">
        <v>0</v>
      </c>
      <c r="AZ38" s="17">
        <v>1.01E-2</v>
      </c>
      <c r="BA38" s="17">
        <v>0</v>
      </c>
      <c r="BB38" s="17">
        <v>2.5000000000000001E-4</v>
      </c>
      <c r="BC38" s="17">
        <v>2.3733650748451275E-2</v>
      </c>
      <c r="BD38" s="17">
        <v>0</v>
      </c>
      <c r="BE38" s="17">
        <v>0</v>
      </c>
      <c r="BF38" s="17">
        <v>2.4235022921503618E-2</v>
      </c>
      <c r="BG38" s="17">
        <v>0</v>
      </c>
      <c r="BH38" s="17">
        <v>0</v>
      </c>
      <c r="BI38" s="17">
        <v>0</v>
      </c>
      <c r="BJ38">
        <v>2.9999999999999997E-4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1.0000000000000002E-4</v>
      </c>
      <c r="BR38" s="26"/>
    </row>
    <row r="39" spans="1:70" ht="18.75" customHeight="1" thickBot="1" x14ac:dyDescent="0.3">
      <c r="A39" s="15" t="s">
        <v>99</v>
      </c>
      <c r="B39" s="15" t="s">
        <v>69</v>
      </c>
      <c r="C39" s="15" t="s">
        <v>15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7"/>
      <c r="AI39" s="17"/>
      <c r="AJ39" s="17"/>
      <c r="AK39" s="17"/>
      <c r="AL39" s="17"/>
      <c r="AM39" s="17"/>
      <c r="AN39" s="17">
        <v>0.87178107420034889</v>
      </c>
      <c r="AO39" s="17">
        <v>0</v>
      </c>
      <c r="AP39" s="17">
        <v>0</v>
      </c>
      <c r="AQ39" s="17">
        <v>0</v>
      </c>
      <c r="AR39" s="17">
        <v>1.3046301597026464E-5</v>
      </c>
      <c r="AS39" s="17">
        <v>0</v>
      </c>
      <c r="AT39" s="17">
        <v>2.1188194375496208E-3</v>
      </c>
      <c r="AU39" s="17">
        <v>0</v>
      </c>
      <c r="AV39" s="17">
        <v>1.5124266841894017E-2</v>
      </c>
      <c r="AW39" s="17">
        <v>1.1226360879527226E-3</v>
      </c>
      <c r="AX39" s="17">
        <v>2.4461815494424619E-6</v>
      </c>
      <c r="AY39" s="17">
        <v>0</v>
      </c>
      <c r="AZ39" s="17">
        <v>2.2415200679061231E-2</v>
      </c>
      <c r="BA39" s="17">
        <v>0</v>
      </c>
      <c r="BB39" s="17">
        <v>6.0176174287133305E-4</v>
      </c>
      <c r="BC39" s="17">
        <v>8.1539384981415406E-6</v>
      </c>
      <c r="BD39" s="17">
        <v>0</v>
      </c>
      <c r="BE39" s="17">
        <v>0</v>
      </c>
      <c r="BF39" s="17">
        <v>3.2615753992566162E-5</v>
      </c>
      <c r="BG39" s="17">
        <v>0</v>
      </c>
      <c r="BH39" s="17">
        <v>0</v>
      </c>
      <c r="BI39" s="17">
        <v>0</v>
      </c>
      <c r="BJ39">
        <v>8.731252093400957E-4</v>
      </c>
      <c r="BK39">
        <v>0</v>
      </c>
      <c r="BL39">
        <v>0</v>
      </c>
      <c r="BM39">
        <v>2.9720943500776056E-2</v>
      </c>
      <c r="BN39">
        <v>1.3046301597026463E-3</v>
      </c>
      <c r="BO39">
        <v>0</v>
      </c>
      <c r="BP39">
        <v>0</v>
      </c>
      <c r="BQ39">
        <v>5.4881279964866143E-2</v>
      </c>
      <c r="BR39" s="26"/>
    </row>
    <row r="40" spans="1:70" ht="18.75" customHeight="1" thickBot="1" x14ac:dyDescent="0.3">
      <c r="A40" s="15" t="s">
        <v>100</v>
      </c>
      <c r="B40" s="15" t="s">
        <v>69</v>
      </c>
      <c r="C40" s="15" t="s">
        <v>15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7"/>
      <c r="AI40" s="17"/>
      <c r="AJ40" s="17"/>
      <c r="AK40" s="17"/>
      <c r="AL40" s="17"/>
      <c r="AM40" s="17"/>
      <c r="AN40" s="17">
        <v>0.71496000000000015</v>
      </c>
      <c r="AO40" s="17">
        <v>0</v>
      </c>
      <c r="AP40" s="17">
        <v>0</v>
      </c>
      <c r="AQ40" s="17">
        <v>0</v>
      </c>
      <c r="AR40" s="17">
        <v>3.0000000000000001E-5</v>
      </c>
      <c r="AS40" s="17">
        <v>0</v>
      </c>
      <c r="AT40" s="17">
        <v>3.6840000000000005E-2</v>
      </c>
      <c r="AU40" s="17">
        <v>0</v>
      </c>
      <c r="AV40" s="17">
        <v>1.2800000000000002E-2</v>
      </c>
      <c r="AW40" s="17">
        <v>0.136295</v>
      </c>
      <c r="AX40" s="17">
        <v>0</v>
      </c>
      <c r="AY40" s="17">
        <v>0</v>
      </c>
      <c r="AZ40" s="17">
        <v>0.02</v>
      </c>
      <c r="BA40" s="17">
        <v>4.5000000000000005E-3</v>
      </c>
      <c r="BB40" s="17">
        <v>3.2000000000000002E-3</v>
      </c>
      <c r="BC40" s="17">
        <v>1.0000000000000002E-4</v>
      </c>
      <c r="BD40" s="17">
        <v>0</v>
      </c>
      <c r="BE40" s="17">
        <v>2.3000000000000003E-2</v>
      </c>
      <c r="BF40" s="17">
        <v>0</v>
      </c>
      <c r="BG40" s="17">
        <v>4.4999999999999996E-5</v>
      </c>
      <c r="BH40" s="17">
        <v>0</v>
      </c>
      <c r="BI40" s="17">
        <v>3.0000000000000001E-5</v>
      </c>
      <c r="BJ40">
        <v>2.6000000000000003E-3</v>
      </c>
      <c r="BK40">
        <v>0</v>
      </c>
      <c r="BL40">
        <v>0</v>
      </c>
      <c r="BM40">
        <v>8.0000000000000015E-4</v>
      </c>
      <c r="BN40">
        <v>0</v>
      </c>
      <c r="BO40">
        <v>0</v>
      </c>
      <c r="BP40">
        <v>0</v>
      </c>
      <c r="BQ40">
        <v>4.48E-2</v>
      </c>
      <c r="BR40" s="26"/>
    </row>
    <row r="41" spans="1:70" ht="18.75" customHeight="1" thickBot="1" x14ac:dyDescent="0.3">
      <c r="A41" s="15" t="s">
        <v>101</v>
      </c>
      <c r="B41" s="15" t="s">
        <v>69</v>
      </c>
      <c r="C41" s="15" t="s">
        <v>15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7"/>
      <c r="AI41" s="17"/>
      <c r="AJ41" s="17"/>
      <c r="AK41" s="17"/>
      <c r="AL41" s="17"/>
      <c r="AM41" s="17"/>
      <c r="AN41" s="17">
        <v>0.93159295655076491</v>
      </c>
      <c r="AO41" s="17">
        <v>2.3219682892906815E-3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5.0434053963838661E-2</v>
      </c>
      <c r="AW41" s="17">
        <v>1.0902408901251738E-3</v>
      </c>
      <c r="AX41" s="17">
        <v>0</v>
      </c>
      <c r="AY41" s="17">
        <v>5.4634547983310154E-3</v>
      </c>
      <c r="AZ41" s="17">
        <v>2.9136792211404729E-3</v>
      </c>
      <c r="BA41" s="17">
        <v>0</v>
      </c>
      <c r="BB41" s="17">
        <v>2.0438954102920725E-3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>
        <v>7.8146180806675934E-4</v>
      </c>
      <c r="BK41">
        <v>0</v>
      </c>
      <c r="BL41">
        <v>0</v>
      </c>
      <c r="BM41">
        <v>5.4536545201668994E-4</v>
      </c>
      <c r="BN41">
        <v>4.5365452016689844E-4</v>
      </c>
      <c r="BO41">
        <v>0</v>
      </c>
      <c r="BP41">
        <v>1.4495099860917942E-3</v>
      </c>
      <c r="BQ41">
        <v>9.0975910987482614E-4</v>
      </c>
      <c r="BR41" s="26"/>
    </row>
    <row r="42" spans="1:70" ht="18.75" customHeight="1" thickBot="1" x14ac:dyDescent="0.3">
      <c r="A42" s="15" t="s">
        <v>102</v>
      </c>
      <c r="B42" s="15" t="s">
        <v>69</v>
      </c>
      <c r="C42" s="15" t="s">
        <v>15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7"/>
      <c r="AI42" s="17"/>
      <c r="AJ42" s="17"/>
      <c r="AK42" s="17"/>
      <c r="AL42" s="17"/>
      <c r="AM42" s="17"/>
      <c r="AN42" s="17">
        <v>0.91773276567078987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6.670498953377735E-4</v>
      </c>
      <c r="AU42" s="17">
        <v>0</v>
      </c>
      <c r="AV42" s="17">
        <v>4.9368980399619407E-2</v>
      </c>
      <c r="AW42" s="17">
        <v>1.7900216936251191E-3</v>
      </c>
      <c r="AX42" s="17">
        <v>0</v>
      </c>
      <c r="AY42" s="17">
        <v>0</v>
      </c>
      <c r="AZ42" s="17">
        <v>7.3215401712654607E-3</v>
      </c>
      <c r="BA42" s="17">
        <v>0</v>
      </c>
      <c r="BB42" s="17">
        <v>2.5649674595623218E-3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>
        <v>1.2900216936251191E-3</v>
      </c>
      <c r="BK42">
        <v>0</v>
      </c>
      <c r="BL42">
        <v>0</v>
      </c>
      <c r="BM42">
        <v>7.1600867745004763E-4</v>
      </c>
      <c r="BN42">
        <v>7.0997830637488119E-4</v>
      </c>
      <c r="BO42">
        <v>0</v>
      </c>
      <c r="BP42">
        <v>1.2424620361560419E-3</v>
      </c>
      <c r="BQ42">
        <v>1.6596203996194096E-2</v>
      </c>
      <c r="BR42" s="26"/>
    </row>
    <row r="43" spans="1:70" ht="18.75" customHeight="1" thickBot="1" x14ac:dyDescent="0.3">
      <c r="A43" s="15" t="s">
        <v>103</v>
      </c>
      <c r="B43" s="15" t="s">
        <v>69</v>
      </c>
      <c r="C43" s="15" t="s">
        <v>15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7"/>
      <c r="AI43" s="17"/>
      <c r="AJ43" s="17"/>
      <c r="AK43" s="17"/>
      <c r="AL43" s="17"/>
      <c r="AM43" s="17"/>
      <c r="AN43" s="17">
        <v>0.30475817181229514</v>
      </c>
      <c r="AO43" s="17">
        <v>0</v>
      </c>
      <c r="AP43" s="17">
        <v>0</v>
      </c>
      <c r="AQ43" s="17">
        <v>0</v>
      </c>
      <c r="AR43" s="17">
        <v>2.8699924984246179E-4</v>
      </c>
      <c r="AS43" s="17">
        <v>0</v>
      </c>
      <c r="AT43" s="17">
        <v>3.8261094810747916E-4</v>
      </c>
      <c r="AU43" s="17">
        <v>0</v>
      </c>
      <c r="AV43" s="17">
        <v>3.5339923152271856E-3</v>
      </c>
      <c r="AW43" s="17">
        <v>1.6059030059215103E-3</v>
      </c>
      <c r="AX43" s="17">
        <v>5.3812359345461582E-5</v>
      </c>
      <c r="AY43" s="17">
        <v>0</v>
      </c>
      <c r="AZ43" s="17">
        <v>5.4697434418686155E-3</v>
      </c>
      <c r="BA43" s="17">
        <v>0</v>
      </c>
      <c r="BB43" s="17">
        <v>2.1526449228158039E-4</v>
      </c>
      <c r="BC43" s="17">
        <v>1.7937453115153863E-4</v>
      </c>
      <c r="BD43" s="17">
        <v>0</v>
      </c>
      <c r="BE43" s="17">
        <v>0</v>
      </c>
      <c r="BF43" s="17">
        <v>7.174981246061545E-4</v>
      </c>
      <c r="BG43" s="17">
        <v>0</v>
      </c>
      <c r="BH43" s="17">
        <v>0</v>
      </c>
      <c r="BI43" s="17">
        <v>0</v>
      </c>
      <c r="BJ43">
        <v>7.4796959520101816E-4</v>
      </c>
      <c r="BK43">
        <v>0</v>
      </c>
      <c r="BL43">
        <v>0</v>
      </c>
      <c r="BM43">
        <v>0.64358630977045383</v>
      </c>
      <c r="BN43">
        <v>2.8699924984246179E-2</v>
      </c>
      <c r="BO43">
        <v>0</v>
      </c>
      <c r="BP43">
        <v>1.1650657381557769E-4</v>
      </c>
      <c r="BQ43">
        <v>9.6459187956363778E-3</v>
      </c>
      <c r="BR43" s="26"/>
    </row>
    <row r="44" spans="1:70" ht="18.75" customHeight="1" thickBot="1" x14ac:dyDescent="0.3">
      <c r="A44" s="15" t="s">
        <v>104</v>
      </c>
      <c r="B44" s="15" t="s">
        <v>69</v>
      </c>
      <c r="C44" s="15" t="s">
        <v>15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7"/>
      <c r="AI44" s="17"/>
      <c r="AJ44" s="17"/>
      <c r="AK44" s="17"/>
      <c r="AL44" s="17"/>
      <c r="AM44" s="17"/>
      <c r="AN44" s="17">
        <v>4.0823452147772535E-3</v>
      </c>
      <c r="AO44" s="17">
        <v>2.0535512351211673E-2</v>
      </c>
      <c r="AP44" s="17">
        <v>0</v>
      </c>
      <c r="AQ44" s="17">
        <v>2.6363109750369198E-5</v>
      </c>
      <c r="AR44" s="17">
        <v>4.0081937612832728E-4</v>
      </c>
      <c r="AS44" s="17">
        <v>0</v>
      </c>
      <c r="AT44" s="17">
        <v>0.18111368949071971</v>
      </c>
      <c r="AU44" s="17">
        <v>5.0168644456300912E-3</v>
      </c>
      <c r="AV44" s="17">
        <v>1.3453167142130256E-2</v>
      </c>
      <c r="AW44" s="17">
        <v>0.21739826177399543</v>
      </c>
      <c r="AX44" s="17">
        <v>0</v>
      </c>
      <c r="AY44" s="17">
        <v>0</v>
      </c>
      <c r="AZ44" s="17">
        <v>0</v>
      </c>
      <c r="BA44" s="17">
        <v>3.265411003637602E-2</v>
      </c>
      <c r="BB44" s="17">
        <v>2.6987140494578333E-3</v>
      </c>
      <c r="BC44" s="17">
        <v>4.8075093905217908E-5</v>
      </c>
      <c r="BD44" s="17">
        <v>3.9928274028218531E-2</v>
      </c>
      <c r="BE44" s="17">
        <v>0.45516869099734919</v>
      </c>
      <c r="BF44" s="17">
        <v>0</v>
      </c>
      <c r="BG44" s="17">
        <v>9.5017720480093746E-5</v>
      </c>
      <c r="BH44" s="17">
        <v>0</v>
      </c>
      <c r="BI44" s="17">
        <v>8.4068379470899712E-5</v>
      </c>
      <c r="BJ44">
        <v>2.2179631104056541E-3</v>
      </c>
      <c r="BK44">
        <v>0</v>
      </c>
      <c r="BL44">
        <v>1.9477206843033433E-4</v>
      </c>
      <c r="BM44">
        <v>7.0678656173432039E-3</v>
      </c>
      <c r="BN44">
        <v>0</v>
      </c>
      <c r="BO44">
        <v>4.4856923080936219E-4</v>
      </c>
      <c r="BP44">
        <v>1.7366856763410658E-2</v>
      </c>
      <c r="BQ44">
        <v>0</v>
      </c>
      <c r="BR44" s="26"/>
    </row>
    <row r="45" spans="1:70" ht="18.75" customHeight="1" thickBot="1" x14ac:dyDescent="0.3">
      <c r="A45" s="15" t="s">
        <v>105</v>
      </c>
      <c r="B45" s="15" t="s">
        <v>69</v>
      </c>
      <c r="C45" s="15" t="s">
        <v>15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7"/>
      <c r="AI45" s="17"/>
      <c r="AJ45" s="17"/>
      <c r="AK45" s="17"/>
      <c r="AL45" s="17"/>
      <c r="AM45" s="17"/>
      <c r="AN45" s="17">
        <v>0</v>
      </c>
      <c r="AO45" s="17">
        <v>0</v>
      </c>
      <c r="AP45" s="17">
        <v>0</v>
      </c>
      <c r="AQ45" s="17">
        <v>0</v>
      </c>
      <c r="AR45" s="17">
        <v>1.4999999999999999E-4</v>
      </c>
      <c r="AS45" s="17">
        <v>0</v>
      </c>
      <c r="AT45" s="17">
        <v>0.17500000000000002</v>
      </c>
      <c r="AU45" s="17">
        <v>0</v>
      </c>
      <c r="AV45" s="17">
        <v>0</v>
      </c>
      <c r="AW45" s="17">
        <v>0.67147499999999993</v>
      </c>
      <c r="AX45" s="17">
        <v>0</v>
      </c>
      <c r="AY45" s="17">
        <v>0</v>
      </c>
      <c r="AZ45" s="17">
        <v>0</v>
      </c>
      <c r="BA45" s="17">
        <v>2.2499999999999999E-2</v>
      </c>
      <c r="BB45" s="17">
        <v>0.01</v>
      </c>
      <c r="BC45" s="17">
        <v>5.0000000000000001E-4</v>
      </c>
      <c r="BD45" s="17">
        <v>0</v>
      </c>
      <c r="BE45" s="17">
        <v>0.115</v>
      </c>
      <c r="BF45" s="17">
        <v>0</v>
      </c>
      <c r="BG45" s="17">
        <v>2.2499999999999999E-4</v>
      </c>
      <c r="BH45" s="17">
        <v>0</v>
      </c>
      <c r="BI45" s="17">
        <v>1.4999999999999999E-4</v>
      </c>
      <c r="BJ45">
        <v>5.0000000000000001E-3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 s="26"/>
    </row>
    <row r="46" spans="1:70" ht="18.75" customHeight="1" thickBot="1" x14ac:dyDescent="0.3">
      <c r="A46" s="15" t="s">
        <v>19</v>
      </c>
      <c r="B46" s="15" t="s">
        <v>69</v>
      </c>
      <c r="C46" s="15" t="s">
        <v>15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7"/>
      <c r="AI46" s="17"/>
      <c r="AJ46" s="17"/>
      <c r="AK46" s="17"/>
      <c r="AL46" s="17"/>
      <c r="AM46" s="17"/>
      <c r="AN46" s="17">
        <v>0.31011</v>
      </c>
      <c r="AO46" s="17">
        <v>0</v>
      </c>
      <c r="AP46" s="17">
        <v>0</v>
      </c>
      <c r="AQ46" s="17">
        <v>0</v>
      </c>
      <c r="AR46" s="17">
        <v>2.7999999999999998E-4</v>
      </c>
      <c r="AS46" s="17">
        <v>0</v>
      </c>
      <c r="AT46" s="17">
        <v>6.9000000000000008E-4</v>
      </c>
      <c r="AU46" s="17">
        <v>0</v>
      </c>
      <c r="AV46" s="17">
        <v>4.7999999999999996E-3</v>
      </c>
      <c r="AW46" s="17">
        <v>1.8E-3</v>
      </c>
      <c r="AX46" s="17">
        <v>5.2499999999999995E-5</v>
      </c>
      <c r="AY46" s="17">
        <v>0</v>
      </c>
      <c r="AZ46" s="17">
        <v>7.4999999999999997E-3</v>
      </c>
      <c r="BA46" s="17">
        <v>0</v>
      </c>
      <c r="BB46" s="17">
        <v>4.4999999999999999E-4</v>
      </c>
      <c r="BC46" s="17">
        <v>1.75E-4</v>
      </c>
      <c r="BD46" s="17">
        <v>0</v>
      </c>
      <c r="BE46" s="17">
        <v>0</v>
      </c>
      <c r="BF46" s="17">
        <v>6.9999999999999999E-4</v>
      </c>
      <c r="BG46" s="17">
        <v>0</v>
      </c>
      <c r="BH46" s="17">
        <v>0</v>
      </c>
      <c r="BI46" s="17">
        <v>0</v>
      </c>
      <c r="BJ46">
        <v>5.9999999999999995E-4</v>
      </c>
      <c r="BK46">
        <v>0</v>
      </c>
      <c r="BL46">
        <v>0</v>
      </c>
      <c r="BM46">
        <v>0.62804249999999995</v>
      </c>
      <c r="BN46">
        <v>2.7999999999999997E-2</v>
      </c>
      <c r="BO46">
        <v>0</v>
      </c>
      <c r="BP46">
        <v>0</v>
      </c>
      <c r="BQ46">
        <v>1.6799999999999999E-2</v>
      </c>
      <c r="BR46" s="26"/>
    </row>
    <row r="47" spans="1:70" ht="18.75" customHeight="1" thickBot="1" x14ac:dyDescent="0.3">
      <c r="A47" s="15" t="s">
        <v>93</v>
      </c>
      <c r="B47" s="15" t="s">
        <v>69</v>
      </c>
      <c r="C47" s="15" t="s">
        <v>15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7"/>
      <c r="AI47" s="17"/>
      <c r="AJ47" s="17"/>
      <c r="AK47" s="17"/>
      <c r="AL47" s="17"/>
      <c r="AM47" s="17"/>
      <c r="AN47" s="17">
        <v>0</v>
      </c>
      <c r="AO47" s="17">
        <v>0</v>
      </c>
      <c r="AP47" s="17">
        <v>0</v>
      </c>
      <c r="AQ47" s="17">
        <v>0</v>
      </c>
      <c r="AR47" s="17">
        <v>0.65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>
        <v>0.35000000000000003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s="26"/>
    </row>
    <row r="48" spans="1:70" ht="18.75" customHeight="1" thickBot="1" x14ac:dyDescent="0.3">
      <c r="A48" s="15" t="s">
        <v>35</v>
      </c>
      <c r="B48" s="15" t="s">
        <v>69</v>
      </c>
      <c r="C48" s="15" t="s">
        <v>15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7"/>
      <c r="AI48" s="17"/>
      <c r="AJ48" s="17"/>
      <c r="AK48" s="17"/>
      <c r="AL48" s="17"/>
      <c r="AM48" s="17"/>
      <c r="AN48" s="17">
        <v>0</v>
      </c>
      <c r="AO48" s="17">
        <v>0</v>
      </c>
      <c r="AP48" s="17">
        <v>0</v>
      </c>
      <c r="AQ48" s="17">
        <v>0</v>
      </c>
      <c r="AR48" s="17">
        <v>0.88985592777174805</v>
      </c>
      <c r="AS48" s="17">
        <v>1.8690214168039541E-2</v>
      </c>
      <c r="AT48" s="17">
        <v>0</v>
      </c>
      <c r="AU48" s="17">
        <v>0</v>
      </c>
      <c r="AV48" s="17">
        <v>0</v>
      </c>
      <c r="AW48" s="17">
        <v>0</v>
      </c>
      <c r="AX48" s="17">
        <v>3.1493015972768802E-2</v>
      </c>
      <c r="AY48" s="17">
        <v>0</v>
      </c>
      <c r="AZ48" s="17">
        <v>0</v>
      </c>
      <c r="BA48" s="17">
        <v>0</v>
      </c>
      <c r="BB48" s="17">
        <v>0</v>
      </c>
      <c r="BC48" s="17">
        <v>2.9667063435564096E-2</v>
      </c>
      <c r="BD48" s="17">
        <v>0</v>
      </c>
      <c r="BE48" s="17">
        <v>0</v>
      </c>
      <c r="BF48" s="17">
        <v>3.0293778651879519E-2</v>
      </c>
      <c r="BG48" s="17">
        <v>0</v>
      </c>
      <c r="BH48" s="17">
        <v>0</v>
      </c>
      <c r="BI48" s="17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 s="26" t="s">
        <v>120</v>
      </c>
    </row>
    <row r="49" spans="1:70" ht="18.75" customHeight="1" thickBot="1" x14ac:dyDescent="0.3">
      <c r="A49" s="15" t="s">
        <v>95</v>
      </c>
      <c r="B49" s="15" t="s">
        <v>69</v>
      </c>
      <c r="C49" s="15" t="s">
        <v>15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7"/>
      <c r="AI49" s="17"/>
      <c r="AJ49" s="17"/>
      <c r="AK49" s="17"/>
      <c r="AL49" s="17"/>
      <c r="AM49" s="17"/>
      <c r="AN49" s="17">
        <v>0.17874000000000004</v>
      </c>
      <c r="AO49" s="17">
        <v>0</v>
      </c>
      <c r="AP49" s="17">
        <v>0</v>
      </c>
      <c r="AQ49" s="17">
        <v>0</v>
      </c>
      <c r="AR49" s="17">
        <v>0.71188474221739839</v>
      </c>
      <c r="AS49" s="17">
        <v>1.4952171334431635E-2</v>
      </c>
      <c r="AT49" s="17">
        <v>4.6000000000000007E-4</v>
      </c>
      <c r="AU49" s="17">
        <v>0</v>
      </c>
      <c r="AV49" s="17">
        <v>3.2000000000000006E-3</v>
      </c>
      <c r="AW49" s="17">
        <v>5.0000000000000001E-4</v>
      </c>
      <c r="AX49" s="17">
        <v>2.5194412778215047E-2</v>
      </c>
      <c r="AY49" s="17">
        <v>0</v>
      </c>
      <c r="AZ49" s="17">
        <v>5.0000000000000001E-3</v>
      </c>
      <c r="BA49" s="17">
        <v>0</v>
      </c>
      <c r="BB49" s="17">
        <v>2.9999999999999997E-4</v>
      </c>
      <c r="BC49" s="17">
        <v>2.3733650748451275E-2</v>
      </c>
      <c r="BD49" s="17">
        <v>0</v>
      </c>
      <c r="BE49" s="17">
        <v>0</v>
      </c>
      <c r="BF49" s="17">
        <v>2.4235022921503618E-2</v>
      </c>
      <c r="BG49" s="17">
        <v>0</v>
      </c>
      <c r="BH49" s="17">
        <v>0</v>
      </c>
      <c r="BI49" s="17">
        <v>0</v>
      </c>
      <c r="BJ49">
        <v>4.0000000000000007E-4</v>
      </c>
      <c r="BK49">
        <v>0</v>
      </c>
      <c r="BL49">
        <v>0</v>
      </c>
      <c r="BM49">
        <v>2.0000000000000004E-4</v>
      </c>
      <c r="BN49">
        <v>0</v>
      </c>
      <c r="BO49">
        <v>0</v>
      </c>
      <c r="BP49">
        <v>0</v>
      </c>
      <c r="BQ49">
        <v>1.12E-2</v>
      </c>
      <c r="BR49" s="26"/>
    </row>
    <row r="50" spans="1:70" ht="18.75" customHeight="1" thickBot="1" x14ac:dyDescent="0.3">
      <c r="A50" s="15" t="s">
        <v>106</v>
      </c>
      <c r="B50" s="15" t="s">
        <v>69</v>
      </c>
      <c r="C50" s="15" t="s">
        <v>15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7"/>
      <c r="AI50" s="17"/>
      <c r="AJ50" s="17"/>
      <c r="AK50" s="17"/>
      <c r="AL50" s="17"/>
      <c r="AM50" s="17"/>
      <c r="AN50" s="17">
        <v>0</v>
      </c>
      <c r="AO50" s="17">
        <v>0.41071024702423337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0.24195261770755364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0.34733713526821314</v>
      </c>
      <c r="BQ50">
        <v>0</v>
      </c>
      <c r="BR50" s="26"/>
    </row>
    <row r="51" spans="1:70" ht="18.75" customHeight="1" thickBot="1" x14ac:dyDescent="0.3">
      <c r="A51" s="15" t="s">
        <v>94</v>
      </c>
      <c r="B51" s="15" t="s">
        <v>69</v>
      </c>
      <c r="C51" s="15" t="s">
        <v>15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7"/>
      <c r="AI51" s="17"/>
      <c r="AJ51" s="17"/>
      <c r="AK51" s="17"/>
      <c r="AL51" s="17"/>
      <c r="AM51" s="17"/>
      <c r="AN51" s="17">
        <v>8.5011764705882398E-2</v>
      </c>
      <c r="AO51" s="17">
        <v>8.3250000000000002E-4</v>
      </c>
      <c r="AP51" s="17">
        <v>8.3249999999999991E-4</v>
      </c>
      <c r="AQ51" s="17">
        <v>0</v>
      </c>
      <c r="AR51" s="17">
        <v>8.8967451911966602E-2</v>
      </c>
      <c r="AS51" s="17">
        <v>0</v>
      </c>
      <c r="AT51" s="17">
        <v>0</v>
      </c>
      <c r="AU51" s="17">
        <v>2.2336133642363462E-2</v>
      </c>
      <c r="AV51" s="17">
        <v>0.36624263044190586</v>
      </c>
      <c r="AW51" s="17">
        <v>0.13905470588235291</v>
      </c>
      <c r="AX51" s="17">
        <v>2.7407368488316783E-3</v>
      </c>
      <c r="AY51" s="17">
        <v>8.7320502683172901E-3</v>
      </c>
      <c r="AZ51" s="17">
        <v>0</v>
      </c>
      <c r="BA51" s="17">
        <v>4.8367431155282484E-2</v>
      </c>
      <c r="BB51" s="17">
        <v>0</v>
      </c>
      <c r="BC51" s="17">
        <v>2.5389881641260134E-3</v>
      </c>
      <c r="BD51" s="17">
        <v>0</v>
      </c>
      <c r="BE51" s="17">
        <v>6.973839830689807E-2</v>
      </c>
      <c r="BF51" s="17">
        <v>8.0511004522441337E-2</v>
      </c>
      <c r="BG51" s="17">
        <v>0</v>
      </c>
      <c r="BH51" s="17">
        <v>4.9950000000000003E-3</v>
      </c>
      <c r="BI51" s="17">
        <v>0</v>
      </c>
      <c r="BJ51">
        <v>5.5280985463974468E-2</v>
      </c>
      <c r="BK51">
        <v>4.3901605528137884E-3</v>
      </c>
      <c r="BL51">
        <v>1.9427558132843741E-2</v>
      </c>
      <c r="BM51">
        <v>0</v>
      </c>
      <c r="BN51">
        <v>0</v>
      </c>
      <c r="BO51">
        <v>0</v>
      </c>
      <c r="BP51">
        <v>0</v>
      </c>
      <c r="BQ51">
        <v>0</v>
      </c>
      <c r="BR51" s="26"/>
    </row>
    <row r="52" spans="1:70" ht="18.75" customHeight="1" thickBot="1" x14ac:dyDescent="0.3">
      <c r="A52" s="15" t="s">
        <v>107</v>
      </c>
      <c r="B52" s="15" t="s">
        <v>69</v>
      </c>
      <c r="C52" s="15" t="s">
        <v>15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7"/>
      <c r="AI52" s="17"/>
      <c r="AJ52" s="17"/>
      <c r="AK52" s="17"/>
      <c r="AL52" s="17"/>
      <c r="AM52" s="17"/>
      <c r="AN52" s="17">
        <v>2.5000000000000001E-3</v>
      </c>
      <c r="AO52" s="17">
        <v>0</v>
      </c>
      <c r="AP52" s="17">
        <v>0</v>
      </c>
      <c r="AQ52" s="17">
        <v>4.0000000000000003E-5</v>
      </c>
      <c r="AR52" s="17">
        <v>1E-3</v>
      </c>
      <c r="AS52" s="17">
        <v>0</v>
      </c>
      <c r="AT52" s="17">
        <v>0.2175</v>
      </c>
      <c r="AU52" s="17">
        <v>1.4999999999999999E-2</v>
      </c>
      <c r="AV52" s="17">
        <v>2.5000000000000001E-3</v>
      </c>
      <c r="AW52" s="17">
        <v>0.185</v>
      </c>
      <c r="AX52" s="17">
        <v>0</v>
      </c>
      <c r="AY52" s="17">
        <v>0</v>
      </c>
      <c r="AZ52" s="17">
        <v>0</v>
      </c>
      <c r="BA52" s="17">
        <v>0.09</v>
      </c>
      <c r="BB52" s="17">
        <v>5.0000000000000001E-3</v>
      </c>
      <c r="BC52" s="17">
        <v>0</v>
      </c>
      <c r="BD52" s="17">
        <v>0</v>
      </c>
      <c r="BE52" s="17">
        <v>0.46936</v>
      </c>
      <c r="BF52" s="17">
        <v>0</v>
      </c>
      <c r="BG52" s="17">
        <v>2.0000000000000001E-4</v>
      </c>
      <c r="BH52" s="17">
        <v>0</v>
      </c>
      <c r="BI52" s="17">
        <v>1.4999999999999999E-4</v>
      </c>
      <c r="BJ52">
        <v>5.0000000000000001E-3</v>
      </c>
      <c r="BK52">
        <v>0</v>
      </c>
      <c r="BL52">
        <v>0</v>
      </c>
      <c r="BM52">
        <v>7.5000000000000002E-4</v>
      </c>
      <c r="BN52">
        <v>0</v>
      </c>
      <c r="BO52">
        <v>6.0000000000000001E-3</v>
      </c>
      <c r="BP52">
        <v>0</v>
      </c>
      <c r="BQ52">
        <v>0</v>
      </c>
      <c r="BR52" s="26"/>
    </row>
    <row r="53" spans="1:70" ht="18.75" customHeight="1" thickBot="1" x14ac:dyDescent="0.3">
      <c r="A53" s="15" t="s">
        <v>68</v>
      </c>
      <c r="B53" s="15" t="s">
        <v>69</v>
      </c>
      <c r="C53" s="15" t="s">
        <v>15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7"/>
      <c r="AI53" s="17"/>
      <c r="AJ53" s="17"/>
      <c r="AK53" s="17"/>
      <c r="AL53" s="17"/>
      <c r="AM53" s="17"/>
      <c r="AN53" s="17">
        <v>5.0000000000000001E-3</v>
      </c>
      <c r="AO53" s="17">
        <v>0</v>
      </c>
      <c r="AP53" s="17">
        <v>0</v>
      </c>
      <c r="AQ53" s="17">
        <v>3.0000000000000001E-5</v>
      </c>
      <c r="AR53" s="17">
        <v>4.0000000000000002E-4</v>
      </c>
      <c r="AS53" s="17">
        <v>0</v>
      </c>
      <c r="AT53" s="17">
        <v>0.19</v>
      </c>
      <c r="AU53" s="17">
        <v>5.0000000000000001E-3</v>
      </c>
      <c r="AV53" s="17">
        <v>1.5E-3</v>
      </c>
      <c r="AW53" s="17">
        <v>0.17842000000000005</v>
      </c>
      <c r="AX53" s="17">
        <v>0</v>
      </c>
      <c r="AY53" s="17">
        <v>0</v>
      </c>
      <c r="AZ53" s="17">
        <v>0</v>
      </c>
      <c r="BA53" s="17">
        <v>3.0499999999999999E-2</v>
      </c>
      <c r="BB53" s="17">
        <v>1.7499999999999998E-3</v>
      </c>
      <c r="BC53" s="17">
        <v>0</v>
      </c>
      <c r="BD53" s="17">
        <v>5.1250000000000004E-2</v>
      </c>
      <c r="BE53" s="17">
        <v>0.52500000000000002</v>
      </c>
      <c r="BF53" s="17">
        <v>0</v>
      </c>
      <c r="BG53" s="17">
        <v>7.4999999999999993E-5</v>
      </c>
      <c r="BH53" s="17">
        <v>0</v>
      </c>
      <c r="BI53" s="17">
        <v>7.4999999999999993E-5</v>
      </c>
      <c r="BJ53">
        <v>1.7499999999999998E-3</v>
      </c>
      <c r="BK53">
        <v>0</v>
      </c>
      <c r="BL53">
        <v>2.5000000000000001E-4</v>
      </c>
      <c r="BM53">
        <v>8.9999999999999993E-3</v>
      </c>
      <c r="BN53">
        <v>0</v>
      </c>
      <c r="BO53">
        <v>0</v>
      </c>
      <c r="BP53">
        <v>0</v>
      </c>
      <c r="BQ53">
        <v>0</v>
      </c>
      <c r="BR53" s="26" t="s">
        <v>121</v>
      </c>
    </row>
    <row r="54" spans="1:70" ht="18.75" customHeight="1" thickBot="1" x14ac:dyDescent="0.3">
      <c r="A54" s="15" t="s">
        <v>92</v>
      </c>
      <c r="B54" s="15" t="s">
        <v>69</v>
      </c>
      <c r="C54" s="15" t="s">
        <v>15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7"/>
      <c r="AI54" s="17"/>
      <c r="AJ54" s="17"/>
      <c r="AK54" s="17"/>
      <c r="AL54" s="17"/>
      <c r="AM54" s="17"/>
      <c r="AN54" s="17">
        <v>0.51847200000000004</v>
      </c>
      <c r="AO54" s="17">
        <v>0</v>
      </c>
      <c r="AP54" s="17">
        <v>0</v>
      </c>
      <c r="AQ54" s="17">
        <v>0</v>
      </c>
      <c r="AR54" s="17">
        <v>1.4100000000000001E-4</v>
      </c>
      <c r="AS54" s="17">
        <v>0</v>
      </c>
      <c r="AT54" s="17">
        <v>2.5787999999999998E-2</v>
      </c>
      <c r="AU54" s="17">
        <v>0</v>
      </c>
      <c r="AV54" s="17">
        <v>8.9600000000000009E-3</v>
      </c>
      <c r="AW54" s="17">
        <v>9.5856499999999983E-2</v>
      </c>
      <c r="AX54" s="17">
        <v>2.2499999999999998E-5</v>
      </c>
      <c r="AY54" s="17">
        <v>0</v>
      </c>
      <c r="AZ54" s="17">
        <v>1.3999999999999999E-2</v>
      </c>
      <c r="BA54" s="17">
        <v>3.15E-3</v>
      </c>
      <c r="BB54" s="17">
        <v>2.2399999999999998E-3</v>
      </c>
      <c r="BC54" s="17">
        <v>1.45E-4</v>
      </c>
      <c r="BD54" s="17">
        <v>0</v>
      </c>
      <c r="BE54" s="17">
        <v>1.61E-2</v>
      </c>
      <c r="BF54" s="17">
        <v>2.9999999999999997E-4</v>
      </c>
      <c r="BG54" s="17">
        <v>3.1499999999999993E-5</v>
      </c>
      <c r="BH54" s="17">
        <v>0</v>
      </c>
      <c r="BI54" s="17">
        <v>2.0999999999999999E-5</v>
      </c>
      <c r="BJ54">
        <v>1.82E-3</v>
      </c>
      <c r="BK54">
        <v>0</v>
      </c>
      <c r="BL54">
        <v>0</v>
      </c>
      <c r="BM54">
        <v>0.26959249999999996</v>
      </c>
      <c r="BN54">
        <v>1.2E-2</v>
      </c>
      <c r="BO54">
        <v>0</v>
      </c>
      <c r="BP54">
        <v>0</v>
      </c>
      <c r="BQ54">
        <v>3.1359999999999999E-2</v>
      </c>
      <c r="BR54" s="26"/>
    </row>
    <row r="55" spans="1:70" ht="18.75" customHeight="1" thickBot="1" x14ac:dyDescent="0.3">
      <c r="A55" s="15" t="s">
        <v>16</v>
      </c>
      <c r="B55" s="15" t="s">
        <v>69</v>
      </c>
      <c r="C55" s="15" t="s">
        <v>15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7"/>
      <c r="AI55" s="17"/>
      <c r="AJ55" s="17"/>
      <c r="AK55" s="17"/>
      <c r="AL55" s="17"/>
      <c r="AM55" s="17"/>
      <c r="AN55" s="17">
        <v>0.06</v>
      </c>
      <c r="AO55" s="17">
        <v>0</v>
      </c>
      <c r="AP55" s="17">
        <v>0</v>
      </c>
      <c r="AQ55" s="17">
        <v>0</v>
      </c>
      <c r="AR55" s="17">
        <v>4.0000000000000002E-4</v>
      </c>
      <c r="AS55" s="17">
        <v>0</v>
      </c>
      <c r="AT55" s="17">
        <v>0</v>
      </c>
      <c r="AU55" s="17">
        <v>0</v>
      </c>
      <c r="AV55" s="17">
        <v>0</v>
      </c>
      <c r="AW55" s="17">
        <v>1.5E-3</v>
      </c>
      <c r="AX55" s="17">
        <v>7.4999999999999993E-5</v>
      </c>
      <c r="AY55" s="17">
        <v>0</v>
      </c>
      <c r="AZ55" s="17">
        <v>0</v>
      </c>
      <c r="BA55" s="17">
        <v>0</v>
      </c>
      <c r="BB55" s="17">
        <v>0</v>
      </c>
      <c r="BC55" s="17">
        <v>2.5000000000000001E-4</v>
      </c>
      <c r="BD55" s="17">
        <v>0</v>
      </c>
      <c r="BE55" s="17">
        <v>0</v>
      </c>
      <c r="BF55" s="17">
        <v>1E-3</v>
      </c>
      <c r="BG55" s="17">
        <v>0</v>
      </c>
      <c r="BH55" s="17">
        <v>0</v>
      </c>
      <c r="BI55" s="17">
        <v>0</v>
      </c>
      <c r="BJ55">
        <v>0</v>
      </c>
      <c r="BK55">
        <v>0</v>
      </c>
      <c r="BL55">
        <v>0</v>
      </c>
      <c r="BM55">
        <v>0.89677499999999999</v>
      </c>
      <c r="BN55">
        <v>0.04</v>
      </c>
      <c r="BO55">
        <v>0</v>
      </c>
      <c r="BP55">
        <v>0</v>
      </c>
      <c r="BQ55">
        <v>0</v>
      </c>
      <c r="BR55" s="26" t="s">
        <v>122</v>
      </c>
    </row>
  </sheetData>
  <autoFilter ref="A1:BJ47" xr:uid="{00000000-0001-0000-0000-000000000000}">
    <sortState xmlns:xlrd2="http://schemas.microsoft.com/office/spreadsheetml/2017/richdata2" ref="A2:BJ47">
      <sortCondition descending="1" ref="B1:B4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F6"/>
  <sheetViews>
    <sheetView workbookViewId="0"/>
  </sheetViews>
  <sheetFormatPr baseColWidth="10" defaultColWidth="8.85546875" defaultRowHeight="15" x14ac:dyDescent="0.25"/>
  <cols>
    <col min="1" max="1" width="13.5703125" bestFit="1" customWidth="1"/>
    <col min="2" max="2" width="21.140625" style="11" bestFit="1" customWidth="1"/>
    <col min="3" max="4" width="13.5703125" style="12" bestFit="1" customWidth="1"/>
    <col min="5" max="6" width="13.5703125" bestFit="1" customWidth="1"/>
  </cols>
  <sheetData>
    <row r="1" spans="2:6" ht="18.75" customHeight="1" x14ac:dyDescent="0.25">
      <c r="B1" s="1"/>
      <c r="C1" s="2"/>
      <c r="D1" s="2"/>
    </row>
    <row r="2" spans="2:6" ht="18.75" customHeight="1" x14ac:dyDescent="0.25">
      <c r="B2" s="1"/>
      <c r="C2" s="2"/>
      <c r="D2" s="2"/>
    </row>
    <row r="3" spans="2:6" ht="18.75" customHeight="1" x14ac:dyDescent="0.25">
      <c r="B3" s="1"/>
      <c r="C3" s="2"/>
      <c r="D3" s="2"/>
    </row>
    <row r="4" spans="2:6" ht="18.75" customHeight="1" x14ac:dyDescent="0.25">
      <c r="B4" s="3" t="s">
        <v>0</v>
      </c>
      <c r="C4" s="2"/>
      <c r="D4" s="2"/>
      <c r="F4" s="4" t="s">
        <v>1</v>
      </c>
    </row>
    <row r="5" spans="2:6" ht="18.75" customHeight="1" x14ac:dyDescent="0.25">
      <c r="B5" s="5" t="s">
        <v>2</v>
      </c>
      <c r="C5" s="6" t="s">
        <v>3</v>
      </c>
      <c r="D5" s="7" t="s">
        <v>4</v>
      </c>
      <c r="F5" t="s">
        <v>5</v>
      </c>
    </row>
    <row r="6" spans="2:6" ht="18.75" customHeight="1" x14ac:dyDescent="0.25">
      <c r="B6" s="8" t="s">
        <v>6</v>
      </c>
      <c r="C6" s="9">
        <v>3.15</v>
      </c>
      <c r="D6" s="10">
        <v>1.26</v>
      </c>
      <c r="F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Emission_Factors</vt:lpstr>
      <vt:lpstr>README - How to enter 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Studium</dc:creator>
  <cp:lastModifiedBy>Jan-Steffen Fischer</cp:lastModifiedBy>
  <dcterms:created xsi:type="dcterms:W3CDTF">2024-12-18T15:00:07Z</dcterms:created>
  <dcterms:modified xsi:type="dcterms:W3CDTF">2026-06-29T18:42:57Z</dcterms:modified>
</cp:coreProperties>
</file>