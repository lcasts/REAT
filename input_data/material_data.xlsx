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Studium\Desktop\Launch_Reentry_Data\REAT_github\input_data\"/>
    </mc:Choice>
  </mc:AlternateContent>
  <xr:revisionPtr revIDLastSave="0" documentId="13_ncr:20001_{DD3A3544-C85B-40C4-BBAB-1819912CC062}" xr6:coauthVersionLast="47" xr6:coauthVersionMax="47" xr10:uidLastSave="{00000000-0000-0000-0000-000000000000}"/>
  <bookViews>
    <workbookView xWindow="-120" yWindow="-120" windowWidth="22920" windowHeight="13275" xr2:uid="{00000000-000D-0000-FFFF-FFFF00000000}"/>
  </bookViews>
  <sheets>
    <sheet name="Material_Data" sheetId="1" r:id="rId1"/>
    <sheet name="README - How to enter data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6" i="1" l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E3" i="1"/>
  <c r="AE2" i="1"/>
</calcChain>
</file>

<file path=xl/sharedStrings.xml><?xml version="1.0" encoding="utf-8"?>
<sst xmlns="http://schemas.openxmlformats.org/spreadsheetml/2006/main" count="78" uniqueCount="72">
  <si>
    <t>sheet: scenarios</t>
  </si>
  <si>
    <t>material</t>
  </si>
  <si>
    <t>AA7475</t>
  </si>
  <si>
    <t>Define material name</t>
  </si>
  <si>
    <t>species</t>
  </si>
  <si>
    <t>AL(cr)</t>
  </si>
  <si>
    <t>The exact name of the species according to CEA thermo.lib</t>
  </si>
  <si>
    <t>comp</t>
  </si>
  <si>
    <t>Epoxy1: (15) h,kj/mol=500  C 25 H 30 N 2 O 4</t>
  </si>
  <si>
    <t>Keep the same format to add additonal species</t>
  </si>
  <si>
    <t>note</t>
  </si>
  <si>
    <t>Will be ignored</t>
  </si>
  <si>
    <t>Ag(cr)</t>
  </si>
  <si>
    <t>B(b)</t>
  </si>
  <si>
    <t>C(gr)</t>
  </si>
  <si>
    <t>CL</t>
  </si>
  <si>
    <t>Cr(cr)</t>
  </si>
  <si>
    <t>Co(a)</t>
  </si>
  <si>
    <t>Cu(cr)</t>
  </si>
  <si>
    <t>Fe(a)</t>
  </si>
  <si>
    <t>H</t>
  </si>
  <si>
    <t>Li(cr)</t>
  </si>
  <si>
    <t>Mg(cr)</t>
  </si>
  <si>
    <t>Mo(cr)</t>
  </si>
  <si>
    <t>Mn(a)</t>
  </si>
  <si>
    <t>N</t>
  </si>
  <si>
    <t>Nb(cr)</t>
  </si>
  <si>
    <t>Ni(cr)</t>
  </si>
  <si>
    <t>O</t>
  </si>
  <si>
    <t>P(cr)</t>
  </si>
  <si>
    <t>Pb(cr)</t>
  </si>
  <si>
    <t>S(a)</t>
  </si>
  <si>
    <t>Si(cr)</t>
  </si>
  <si>
    <t>Sn(cr)</t>
  </si>
  <si>
    <t>Ta(cr)</t>
  </si>
  <si>
    <t>Ti(a)</t>
  </si>
  <si>
    <t>V(cr)</t>
  </si>
  <si>
    <t>W(cr)</t>
  </si>
  <si>
    <t>Zr(a)</t>
  </si>
  <si>
    <t>Zn(cr)</t>
  </si>
  <si>
    <t>A316L</t>
  </si>
  <si>
    <t>AA2195</t>
  </si>
  <si>
    <t>Matweb</t>
  </si>
  <si>
    <t>AA2198</t>
  </si>
  <si>
    <t>Bitondo, Prisco 2010</t>
  </si>
  <si>
    <t>AA2219</t>
  </si>
  <si>
    <t>DIN EN 573-3</t>
  </si>
  <si>
    <t>AA5056</t>
  </si>
  <si>
    <t>Elisental</t>
  </si>
  <si>
    <t>AA6061</t>
  </si>
  <si>
    <t>AA7075</t>
  </si>
  <si>
    <t>AACFRP</t>
  </si>
  <si>
    <t>AAITS</t>
  </si>
  <si>
    <t>AATF</t>
  </si>
  <si>
    <t>AATFU</t>
  </si>
  <si>
    <t>AATOX</t>
  </si>
  <si>
    <t>ACP</t>
  </si>
  <si>
    <t>AENG</t>
  </si>
  <si>
    <t>AFS</t>
  </si>
  <si>
    <t>AlTi</t>
  </si>
  <si>
    <t>CC</t>
  </si>
  <si>
    <t>CFRP</t>
  </si>
  <si>
    <t>M56 HexPly composition</t>
  </si>
  <si>
    <t>CFRP_AA7075</t>
  </si>
  <si>
    <t>CuAgZr</t>
  </si>
  <si>
    <t>Elec</t>
  </si>
  <si>
    <t>Hastelloy-X</t>
  </si>
  <si>
    <t>Inconel718</t>
  </si>
  <si>
    <t>VDM Alloy 718</t>
  </si>
  <si>
    <t>Inconel718_Cu</t>
  </si>
  <si>
    <t>Ti6Al4V</t>
  </si>
  <si>
    <t>EN ISO 5832-3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</si>
</sst>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8">
    <xf numFmtId="0" fontId="0" fillId="0" borderId="0" xfId="0"/>
    <xf numFmtId="3" fontId="1" fillId="0" borderId="1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3" fontId="1" fillId="0" borderId="4" xfId="0" applyNumberFormat="1" applyFont="1" applyBorder="1" applyAlignment="1">
      <alignment horizontal="left"/>
    </xf>
    <xf numFmtId="3" fontId="1" fillId="0" borderId="5" xfId="0" applyNumberFormat="1" applyFont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164" fontId="1" fillId="0" borderId="7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2" fillId="2" borderId="8" xfId="0" applyFont="1" applyFill="1" applyBorder="1" applyAlignment="1">
      <alignment horizontal="left"/>
    </xf>
    <xf numFmtId="165" fontId="2" fillId="2" borderId="8" xfId="0" applyNumberFormat="1" applyFont="1" applyFill="1" applyBorder="1" applyAlignment="1">
      <alignment horizontal="left"/>
    </xf>
    <xf numFmtId="4" fontId="2" fillId="2" borderId="8" xfId="0" applyNumberFormat="1" applyFont="1" applyFill="1" applyBorder="1" applyAlignment="1">
      <alignment horizontal="left"/>
    </xf>
    <xf numFmtId="165" fontId="0" fillId="0" borderId="0" xfId="0" applyNumberFormat="1" applyAlignment="1">
      <alignment horizontal="left"/>
    </xf>
    <xf numFmtId="165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F2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9" bestFit="1" customWidth="1"/>
    <col min="2" max="2" width="9.28515625" style="14" bestFit="1" customWidth="1"/>
    <col min="3" max="4" width="8" style="14" bestFit="1" customWidth="1"/>
    <col min="5" max="30" width="13.5703125" style="14" bestFit="1" customWidth="1"/>
    <col min="31" max="31" width="13.5703125" style="17" bestFit="1" customWidth="1"/>
    <col min="32" max="32" width="13.5703125" bestFit="1" customWidth="1"/>
  </cols>
  <sheetData>
    <row r="1" spans="1:32" ht="19.5" customHeight="1" x14ac:dyDescent="0.25">
      <c r="A1" s="11" t="s">
        <v>1</v>
      </c>
      <c r="B1" s="12" t="s">
        <v>5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2" t="s">
        <v>20</v>
      </c>
      <c r="L1" s="12" t="s">
        <v>21</v>
      </c>
      <c r="M1" s="12" t="s">
        <v>22</v>
      </c>
      <c r="N1" s="12" t="s">
        <v>23</v>
      </c>
      <c r="O1" s="12" t="s">
        <v>24</v>
      </c>
      <c r="P1" s="12" t="s">
        <v>25</v>
      </c>
      <c r="Q1" s="12" t="s">
        <v>26</v>
      </c>
      <c r="R1" s="12" t="s">
        <v>27</v>
      </c>
      <c r="S1" s="12" t="s">
        <v>28</v>
      </c>
      <c r="T1" s="12" t="s">
        <v>29</v>
      </c>
      <c r="U1" s="12" t="s">
        <v>30</v>
      </c>
      <c r="V1" s="12" t="s">
        <v>31</v>
      </c>
      <c r="W1" s="12" t="s">
        <v>32</v>
      </c>
      <c r="X1" s="12" t="s">
        <v>33</v>
      </c>
      <c r="Y1" s="12" t="s">
        <v>34</v>
      </c>
      <c r="Z1" s="12" t="s">
        <v>35</v>
      </c>
      <c r="AA1" s="12" t="s">
        <v>36</v>
      </c>
      <c r="AB1" s="12" t="s">
        <v>37</v>
      </c>
      <c r="AC1" s="12" t="s">
        <v>38</v>
      </c>
      <c r="AD1" s="12" t="s">
        <v>39</v>
      </c>
      <c r="AE1" s="13" t="s">
        <v>7</v>
      </c>
      <c r="AF1" s="11" t="s">
        <v>10</v>
      </c>
    </row>
    <row r="2" spans="1:32" ht="19.5" customHeight="1" x14ac:dyDescent="0.25">
      <c r="A2" s="15" t="s">
        <v>40</v>
      </c>
      <c r="B2" s="14">
        <v>0</v>
      </c>
      <c r="C2" s="15">
        <v>0</v>
      </c>
      <c r="D2" s="15">
        <v>0</v>
      </c>
      <c r="E2" s="15">
        <v>1.4999999999999999E-2</v>
      </c>
      <c r="F2" s="15">
        <v>0</v>
      </c>
      <c r="G2" s="15">
        <v>17.5</v>
      </c>
      <c r="H2" s="15">
        <v>0</v>
      </c>
      <c r="I2" s="15">
        <v>0</v>
      </c>
      <c r="J2" s="15">
        <v>67.147499999999994</v>
      </c>
      <c r="K2" s="15">
        <v>0</v>
      </c>
      <c r="L2" s="15">
        <v>0</v>
      </c>
      <c r="M2" s="15">
        <v>0</v>
      </c>
      <c r="N2" s="15">
        <v>2.25</v>
      </c>
      <c r="O2" s="15">
        <v>1</v>
      </c>
      <c r="P2" s="15">
        <v>0.05</v>
      </c>
      <c r="Q2" s="15">
        <v>0</v>
      </c>
      <c r="R2" s="15">
        <v>11.5</v>
      </c>
      <c r="S2" s="15">
        <v>0</v>
      </c>
      <c r="T2" s="15">
        <v>2.2499999999999999E-2</v>
      </c>
      <c r="U2" s="15"/>
      <c r="V2" s="15">
        <v>1.4999999999999999E-2</v>
      </c>
      <c r="W2" s="15">
        <v>0.5</v>
      </c>
      <c r="X2" s="15">
        <v>0</v>
      </c>
      <c r="Y2" s="15">
        <v>0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f t="shared" ref="AE2:AE26" si="0">SUM(B2:AD2)</f>
        <v>99.999999999999986</v>
      </c>
      <c r="AF2" s="15"/>
    </row>
    <row r="3" spans="1:32" ht="19.5" customHeight="1" x14ac:dyDescent="0.25">
      <c r="A3" s="15" t="s">
        <v>41</v>
      </c>
      <c r="B3" s="14">
        <v>93.495000000000005</v>
      </c>
      <c r="C3" s="14">
        <v>0.42499999999999999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>
        <v>4</v>
      </c>
      <c r="J3" s="15">
        <v>7.4999999999999997E-2</v>
      </c>
      <c r="K3" s="15">
        <v>0</v>
      </c>
      <c r="L3" s="15">
        <v>1</v>
      </c>
      <c r="M3" s="15">
        <v>0.52500000000000002</v>
      </c>
      <c r="N3" s="15">
        <v>0</v>
      </c>
      <c r="O3" s="15">
        <v>0.125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/>
      <c r="V3" s="15">
        <v>0</v>
      </c>
      <c r="W3" s="15">
        <v>0.06</v>
      </c>
      <c r="X3" s="15">
        <v>0</v>
      </c>
      <c r="Y3" s="15">
        <v>0</v>
      </c>
      <c r="Z3" s="15">
        <v>0.05</v>
      </c>
      <c r="AA3" s="15">
        <v>0</v>
      </c>
      <c r="AB3" s="15">
        <v>0</v>
      </c>
      <c r="AC3" s="15">
        <v>0.12</v>
      </c>
      <c r="AD3" s="15">
        <v>0.125</v>
      </c>
      <c r="AE3" s="15">
        <f t="shared" si="0"/>
        <v>100.00000000000001</v>
      </c>
      <c r="AF3" s="15" t="s">
        <v>42</v>
      </c>
    </row>
    <row r="4" spans="1:32" ht="19.5" customHeight="1" x14ac:dyDescent="0.25">
      <c r="A4" s="15" t="s">
        <v>43</v>
      </c>
      <c r="B4" s="16">
        <v>94.375</v>
      </c>
      <c r="C4" s="14">
        <v>0.3</v>
      </c>
      <c r="D4" s="14">
        <v>0</v>
      </c>
      <c r="E4" s="15">
        <v>0</v>
      </c>
      <c r="F4" s="15">
        <v>0</v>
      </c>
      <c r="G4" s="15">
        <v>2.5000000000000001E-2</v>
      </c>
      <c r="H4" s="15">
        <v>0</v>
      </c>
      <c r="I4" s="15">
        <v>3.2</v>
      </c>
      <c r="J4" s="15">
        <v>0.05</v>
      </c>
      <c r="K4" s="15">
        <v>0</v>
      </c>
      <c r="L4" s="15">
        <v>0.95000000000000007</v>
      </c>
      <c r="M4" s="15">
        <v>0.52500000000000002</v>
      </c>
      <c r="N4" s="15">
        <v>0</v>
      </c>
      <c r="O4" s="15">
        <v>0.25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/>
      <c r="V4" s="15">
        <v>0</v>
      </c>
      <c r="W4" s="15">
        <v>0.04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0.11</v>
      </c>
      <c r="AD4" s="15">
        <v>0.17499999999999999</v>
      </c>
      <c r="AE4" s="15">
        <f t="shared" si="0"/>
        <v>100.00000000000001</v>
      </c>
      <c r="AF4" s="15" t="s">
        <v>44</v>
      </c>
    </row>
    <row r="5" spans="1:32" ht="19.5" customHeight="1" x14ac:dyDescent="0.25">
      <c r="A5" s="15" t="s">
        <v>45</v>
      </c>
      <c r="B5" s="15">
        <v>92.754999999999995</v>
      </c>
      <c r="C5" s="16">
        <v>0</v>
      </c>
      <c r="D5" s="14">
        <v>0</v>
      </c>
      <c r="E5" s="14">
        <v>0</v>
      </c>
      <c r="F5" s="15">
        <v>0</v>
      </c>
      <c r="G5" s="15">
        <v>0</v>
      </c>
      <c r="H5" s="15">
        <v>0</v>
      </c>
      <c r="I5" s="15">
        <v>6.3</v>
      </c>
      <c r="J5" s="15">
        <v>0.15</v>
      </c>
      <c r="K5" s="15">
        <v>0</v>
      </c>
      <c r="L5" s="15">
        <v>0</v>
      </c>
      <c r="M5" s="15">
        <v>0.01</v>
      </c>
      <c r="N5" s="15">
        <v>0</v>
      </c>
      <c r="O5" s="15">
        <v>0.30000000000000004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/>
      <c r="V5" s="15">
        <v>0</v>
      </c>
      <c r="W5" s="15">
        <v>0.1</v>
      </c>
      <c r="X5" s="15">
        <v>0</v>
      </c>
      <c r="Y5" s="15">
        <v>0</v>
      </c>
      <c r="Z5" s="15">
        <v>6.0000000000000005E-2</v>
      </c>
      <c r="AA5" s="15">
        <v>0.1</v>
      </c>
      <c r="AB5" s="15">
        <v>0</v>
      </c>
      <c r="AC5" s="15">
        <v>0.17499999999999999</v>
      </c>
      <c r="AD5" s="15">
        <v>0.05</v>
      </c>
      <c r="AE5" s="15">
        <f t="shared" si="0"/>
        <v>99.999999999999986</v>
      </c>
      <c r="AF5" s="15" t="s">
        <v>46</v>
      </c>
    </row>
    <row r="6" spans="1:32" ht="19.5" customHeight="1" x14ac:dyDescent="0.25">
      <c r="A6" s="15" t="s">
        <v>47</v>
      </c>
      <c r="B6" s="15">
        <v>94.25</v>
      </c>
      <c r="C6" s="15">
        <v>0</v>
      </c>
      <c r="D6" s="16">
        <v>0</v>
      </c>
      <c r="E6" s="14">
        <v>0</v>
      </c>
      <c r="F6" s="14">
        <v>0</v>
      </c>
      <c r="G6" s="15">
        <v>0.125</v>
      </c>
      <c r="H6" s="15">
        <v>0</v>
      </c>
      <c r="I6" s="15">
        <v>0.05</v>
      </c>
      <c r="J6" s="15">
        <v>0.2</v>
      </c>
      <c r="K6" s="15">
        <v>0</v>
      </c>
      <c r="L6" s="15">
        <v>0</v>
      </c>
      <c r="M6" s="15">
        <v>5.05</v>
      </c>
      <c r="N6" s="15">
        <v>0</v>
      </c>
      <c r="O6" s="15">
        <v>0.125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/>
      <c r="V6" s="15">
        <v>0</v>
      </c>
      <c r="W6" s="15">
        <v>0.15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0.05</v>
      </c>
      <c r="AE6" s="15">
        <f t="shared" si="0"/>
        <v>100</v>
      </c>
      <c r="AF6" s="15" t="s">
        <v>48</v>
      </c>
    </row>
    <row r="7" spans="1:32" ht="19.5" customHeight="1" x14ac:dyDescent="0.25">
      <c r="A7" s="15" t="s">
        <v>49</v>
      </c>
      <c r="B7" s="15">
        <v>97.305000000000007</v>
      </c>
      <c r="C7" s="15">
        <v>0</v>
      </c>
      <c r="D7" s="15">
        <v>0</v>
      </c>
      <c r="E7" s="15">
        <v>0</v>
      </c>
      <c r="F7" s="16">
        <v>0</v>
      </c>
      <c r="G7" s="14">
        <v>0.19499999999999998</v>
      </c>
      <c r="H7" s="14">
        <v>0</v>
      </c>
      <c r="I7" s="15">
        <v>0.27500000000000002</v>
      </c>
      <c r="J7" s="15">
        <v>0.35</v>
      </c>
      <c r="K7" s="15">
        <v>0</v>
      </c>
      <c r="L7" s="15">
        <v>0</v>
      </c>
      <c r="M7" s="15">
        <v>1</v>
      </c>
      <c r="N7" s="15">
        <v>0</v>
      </c>
      <c r="O7" s="15">
        <v>7.4999999999999997E-2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/>
      <c r="V7" s="15">
        <v>0</v>
      </c>
      <c r="W7" s="15">
        <v>0.60000000000000009</v>
      </c>
      <c r="X7" s="15">
        <v>0</v>
      </c>
      <c r="Y7" s="15">
        <v>0</v>
      </c>
      <c r="Z7" s="15">
        <v>7.4999999999999997E-2</v>
      </c>
      <c r="AA7" s="15">
        <v>0</v>
      </c>
      <c r="AB7" s="15">
        <v>0</v>
      </c>
      <c r="AC7" s="15">
        <v>0</v>
      </c>
      <c r="AD7" s="15">
        <v>0.125</v>
      </c>
      <c r="AE7" s="15">
        <f t="shared" si="0"/>
        <v>100</v>
      </c>
      <c r="AF7" s="15" t="s">
        <v>46</v>
      </c>
    </row>
    <row r="8" spans="1:32" ht="19.5" customHeight="1" x14ac:dyDescent="0.25">
      <c r="A8" s="15" t="s">
        <v>50</v>
      </c>
      <c r="B8" s="15">
        <v>89.37</v>
      </c>
      <c r="C8" s="15">
        <v>0</v>
      </c>
      <c r="D8" s="15">
        <v>0</v>
      </c>
      <c r="E8" s="15">
        <v>0</v>
      </c>
      <c r="F8" s="15">
        <v>0</v>
      </c>
      <c r="G8" s="15">
        <v>0.23</v>
      </c>
      <c r="H8" s="15">
        <v>0</v>
      </c>
      <c r="I8" s="16">
        <v>1.6</v>
      </c>
      <c r="J8" s="14">
        <v>0.25</v>
      </c>
      <c r="K8" s="14">
        <v>0</v>
      </c>
      <c r="L8" s="15">
        <v>0</v>
      </c>
      <c r="M8" s="15">
        <v>2.5</v>
      </c>
      <c r="N8" s="15">
        <v>0</v>
      </c>
      <c r="O8" s="15">
        <v>0.15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/>
      <c r="V8" s="15">
        <v>0</v>
      </c>
      <c r="W8" s="15">
        <v>0.2</v>
      </c>
      <c r="X8" s="15">
        <v>0</v>
      </c>
      <c r="Y8" s="15">
        <v>0</v>
      </c>
      <c r="Z8" s="15">
        <v>0.1</v>
      </c>
      <c r="AA8" s="15">
        <v>0</v>
      </c>
      <c r="AB8" s="15">
        <v>0</v>
      </c>
      <c r="AC8" s="15">
        <v>0</v>
      </c>
      <c r="AD8" s="15">
        <v>5.6</v>
      </c>
      <c r="AE8" s="15">
        <f t="shared" si="0"/>
        <v>100</v>
      </c>
      <c r="AF8" s="15" t="s">
        <v>46</v>
      </c>
    </row>
    <row r="9" spans="1:32" ht="19.5" customHeight="1" x14ac:dyDescent="0.25">
      <c r="A9" s="15" t="s">
        <v>51</v>
      </c>
      <c r="B9" s="15">
        <v>18.850000000000001</v>
      </c>
      <c r="C9" s="15">
        <v>0</v>
      </c>
      <c r="D9" s="15">
        <v>0</v>
      </c>
      <c r="E9" s="15">
        <v>71.188474221739838</v>
      </c>
      <c r="F9" s="15">
        <v>1.4952171334431634</v>
      </c>
      <c r="G9" s="15">
        <v>2.5000000000000001E-2</v>
      </c>
      <c r="H9" s="15">
        <v>0</v>
      </c>
      <c r="I9" s="15">
        <v>1.0000000000000002E-2</v>
      </c>
      <c r="J9" s="15">
        <v>4.0000000000000008E-2</v>
      </c>
      <c r="K9" s="15">
        <v>2.5194412778215045</v>
      </c>
      <c r="L9" s="16">
        <v>0</v>
      </c>
      <c r="M9" s="14">
        <v>1.01</v>
      </c>
      <c r="N9" s="14">
        <v>0</v>
      </c>
      <c r="O9" s="15">
        <v>2.5000000000000001E-2</v>
      </c>
      <c r="P9" s="15">
        <v>2.3733650748451276</v>
      </c>
      <c r="Q9" s="15">
        <v>0</v>
      </c>
      <c r="R9" s="15">
        <v>0</v>
      </c>
      <c r="S9" s="15">
        <v>2.4235022921503617</v>
      </c>
      <c r="T9" s="15">
        <v>0</v>
      </c>
      <c r="U9" s="15">
        <v>0</v>
      </c>
      <c r="V9" s="15">
        <v>0</v>
      </c>
      <c r="W9" s="15">
        <v>0.03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1.0000000000000002E-2</v>
      </c>
      <c r="AE9" s="15">
        <f t="shared" si="0"/>
        <v>100.00000000000003</v>
      </c>
      <c r="AF9" s="15"/>
    </row>
    <row r="10" spans="1:32" ht="18.75" customHeight="1" x14ac:dyDescent="0.25">
      <c r="A10" s="15" t="s">
        <v>52</v>
      </c>
      <c r="B10" s="15">
        <v>87.178107420034891</v>
      </c>
      <c r="C10" s="15">
        <v>0</v>
      </c>
      <c r="D10" s="15">
        <v>0</v>
      </c>
      <c r="E10" s="15">
        <v>1.3046301597026463E-3</v>
      </c>
      <c r="F10" s="15">
        <v>0</v>
      </c>
      <c r="G10" s="15">
        <v>0.21188194375496205</v>
      </c>
      <c r="H10" s="15">
        <v>0</v>
      </c>
      <c r="I10" s="15">
        <v>1.5124266841894016</v>
      </c>
      <c r="J10" s="15">
        <v>0.11226360879527225</v>
      </c>
      <c r="K10" s="15">
        <v>2.4461815494424618E-4</v>
      </c>
      <c r="L10" s="15">
        <v>0</v>
      </c>
      <c r="M10" s="16">
        <v>2.2415200679061229</v>
      </c>
      <c r="N10" s="14">
        <v>0</v>
      </c>
      <c r="O10" s="14">
        <v>6.0176174287133309E-2</v>
      </c>
      <c r="P10" s="15">
        <v>8.1539384981415403E-4</v>
      </c>
      <c r="Q10" s="15">
        <v>0</v>
      </c>
      <c r="R10" s="15">
        <v>0</v>
      </c>
      <c r="S10" s="15">
        <v>3.2615753992566161E-3</v>
      </c>
      <c r="T10" s="15">
        <v>0</v>
      </c>
      <c r="U10" s="15">
        <v>0</v>
      </c>
      <c r="V10" s="15">
        <v>0</v>
      </c>
      <c r="W10" s="15">
        <v>8.7312520934009569E-2</v>
      </c>
      <c r="X10" s="15">
        <v>0</v>
      </c>
      <c r="Y10" s="15">
        <v>0</v>
      </c>
      <c r="Z10" s="15">
        <v>2.9720943500776054</v>
      </c>
      <c r="AA10" s="15">
        <v>0.13046301597026463</v>
      </c>
      <c r="AB10" s="15">
        <v>0</v>
      </c>
      <c r="AC10" s="15">
        <v>0</v>
      </c>
      <c r="AD10" s="15">
        <v>5.4881279964866145</v>
      </c>
      <c r="AE10" s="15">
        <f t="shared" si="0"/>
        <v>100</v>
      </c>
      <c r="AF10" s="15"/>
    </row>
    <row r="11" spans="1:32" ht="18.75" customHeight="1" x14ac:dyDescent="0.25">
      <c r="A11" s="15" t="s">
        <v>53</v>
      </c>
      <c r="B11" s="15">
        <v>71.496000000000009</v>
      </c>
      <c r="C11" s="15">
        <v>0</v>
      </c>
      <c r="D11" s="15">
        <v>0</v>
      </c>
      <c r="E11" s="15">
        <v>3.0000000000000001E-3</v>
      </c>
      <c r="F11" s="15">
        <v>0</v>
      </c>
      <c r="G11" s="15">
        <v>3.6840000000000002</v>
      </c>
      <c r="H11" s="15">
        <v>0</v>
      </c>
      <c r="I11" s="15">
        <v>1.2800000000000002</v>
      </c>
      <c r="J11" s="15">
        <v>13.629499999999998</v>
      </c>
      <c r="K11" s="15">
        <v>0</v>
      </c>
      <c r="L11" s="15">
        <v>0</v>
      </c>
      <c r="M11" s="15">
        <v>2</v>
      </c>
      <c r="N11" s="16">
        <v>0.45</v>
      </c>
      <c r="O11" s="14">
        <v>0.32</v>
      </c>
      <c r="P11" s="14">
        <v>1.0000000000000002E-2</v>
      </c>
      <c r="Q11" s="15">
        <v>0</v>
      </c>
      <c r="R11" s="15">
        <v>2.3000000000000003</v>
      </c>
      <c r="S11" s="15">
        <v>0</v>
      </c>
      <c r="T11" s="15">
        <v>4.4999999999999997E-3</v>
      </c>
      <c r="U11" s="15">
        <v>0</v>
      </c>
      <c r="V11" s="15">
        <v>3.0000000000000001E-3</v>
      </c>
      <c r="W11" s="15">
        <v>0.26</v>
      </c>
      <c r="X11" s="15">
        <v>0</v>
      </c>
      <c r="Y11" s="15">
        <v>0</v>
      </c>
      <c r="Z11" s="15">
        <v>8.0000000000000016E-2</v>
      </c>
      <c r="AA11" s="15">
        <v>0</v>
      </c>
      <c r="AB11" s="15">
        <v>0</v>
      </c>
      <c r="AC11" s="15">
        <v>0</v>
      </c>
      <c r="AD11" s="15">
        <v>4.4799999999999995</v>
      </c>
      <c r="AE11" s="15">
        <f t="shared" si="0"/>
        <v>100</v>
      </c>
      <c r="AF11" s="15"/>
    </row>
    <row r="12" spans="1:32" ht="18.75" customHeight="1" x14ac:dyDescent="0.25">
      <c r="A12" s="15" t="s">
        <v>54</v>
      </c>
      <c r="B12" s="15">
        <v>93.159295655076491</v>
      </c>
      <c r="C12" s="15">
        <v>0.23219682892906815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5.0434053963838661</v>
      </c>
      <c r="J12" s="15">
        <v>0.10902408901251738</v>
      </c>
      <c r="K12" s="15">
        <v>0</v>
      </c>
      <c r="L12" s="15">
        <v>0.54634547983310155</v>
      </c>
      <c r="M12" s="15">
        <v>0.29136792211404727</v>
      </c>
      <c r="N12" s="15">
        <v>0</v>
      </c>
      <c r="O12" s="16">
        <v>0.20438954102920726</v>
      </c>
      <c r="P12" s="14">
        <v>0</v>
      </c>
      <c r="Q12" s="14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7.814618080667593E-2</v>
      </c>
      <c r="X12" s="15">
        <v>0</v>
      </c>
      <c r="Y12" s="15">
        <v>0</v>
      </c>
      <c r="Z12" s="15">
        <v>5.4536545201668993E-2</v>
      </c>
      <c r="AA12" s="15">
        <v>4.5365452016689845E-2</v>
      </c>
      <c r="AB12" s="15">
        <v>0</v>
      </c>
      <c r="AC12" s="15">
        <v>0.14495099860917943</v>
      </c>
      <c r="AD12" s="15">
        <v>9.0975910987482617E-2</v>
      </c>
      <c r="AE12" s="15">
        <f t="shared" si="0"/>
        <v>99.999999999999986</v>
      </c>
      <c r="AF12" s="15"/>
    </row>
    <row r="13" spans="1:32" ht="18.75" customHeight="1" x14ac:dyDescent="0.25">
      <c r="A13" s="15" t="s">
        <v>55</v>
      </c>
      <c r="B13" s="15">
        <v>91.77327656707898</v>
      </c>
      <c r="C13" s="15">
        <v>0</v>
      </c>
      <c r="D13" s="15">
        <v>0</v>
      </c>
      <c r="E13" s="15">
        <v>0</v>
      </c>
      <c r="F13" s="15">
        <v>0</v>
      </c>
      <c r="G13" s="15">
        <v>6.6704989533777348E-2</v>
      </c>
      <c r="H13" s="15">
        <v>0</v>
      </c>
      <c r="I13" s="15">
        <v>4.9368980399619407</v>
      </c>
      <c r="J13" s="15">
        <v>0.1790021693625119</v>
      </c>
      <c r="K13" s="15">
        <v>0</v>
      </c>
      <c r="L13" s="15">
        <v>0</v>
      </c>
      <c r="M13" s="15">
        <v>0.73215401712654604</v>
      </c>
      <c r="N13" s="15">
        <v>0</v>
      </c>
      <c r="O13" s="15">
        <v>0.25649674595623217</v>
      </c>
      <c r="P13" s="16">
        <v>0</v>
      </c>
      <c r="Q13" s="14">
        <v>0</v>
      </c>
      <c r="R13" s="14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0.12900216936251191</v>
      </c>
      <c r="X13" s="15">
        <v>0</v>
      </c>
      <c r="Y13" s="15">
        <v>0</v>
      </c>
      <c r="Z13" s="15">
        <v>7.1600867745004765E-2</v>
      </c>
      <c r="AA13" s="15">
        <v>7.0997830637488116E-2</v>
      </c>
      <c r="AB13" s="15">
        <v>0</v>
      </c>
      <c r="AC13" s="15">
        <v>0.12424620361560419</v>
      </c>
      <c r="AD13" s="15">
        <v>1.6596203996194097</v>
      </c>
      <c r="AE13" s="15">
        <f t="shared" si="0"/>
        <v>100</v>
      </c>
      <c r="AF13" s="15"/>
    </row>
    <row r="14" spans="1:32" ht="18.75" customHeight="1" x14ac:dyDescent="0.25">
      <c r="A14" s="15" t="s">
        <v>56</v>
      </c>
      <c r="B14" s="15">
        <v>30.475817181229516</v>
      </c>
      <c r="C14" s="15">
        <v>0</v>
      </c>
      <c r="D14" s="15">
        <v>0</v>
      </c>
      <c r="E14" s="15">
        <v>2.8699924984246179E-2</v>
      </c>
      <c r="F14" s="15">
        <v>0</v>
      </c>
      <c r="G14" s="15">
        <v>3.8261094810747916E-2</v>
      </c>
      <c r="H14" s="15">
        <v>0</v>
      </c>
      <c r="I14" s="15">
        <v>0.35339923152271857</v>
      </c>
      <c r="J14" s="15">
        <v>0.16059030059215104</v>
      </c>
      <c r="K14" s="15">
        <v>5.3812359345461582E-3</v>
      </c>
      <c r="L14" s="15">
        <v>0</v>
      </c>
      <c r="M14" s="15">
        <v>0.54697434418686153</v>
      </c>
      <c r="N14" s="15">
        <v>0</v>
      </c>
      <c r="O14" s="15">
        <v>2.1526449228158037E-2</v>
      </c>
      <c r="P14" s="15">
        <v>1.7937453115153861E-2</v>
      </c>
      <c r="Q14" s="16">
        <v>0</v>
      </c>
      <c r="R14" s="14">
        <v>0</v>
      </c>
      <c r="S14" s="14">
        <v>7.1749812460615445E-2</v>
      </c>
      <c r="T14" s="15">
        <v>0</v>
      </c>
      <c r="U14" s="15">
        <v>0</v>
      </c>
      <c r="V14" s="15">
        <v>0</v>
      </c>
      <c r="W14" s="15">
        <v>7.4796959520101819E-2</v>
      </c>
      <c r="X14" s="15">
        <v>0</v>
      </c>
      <c r="Y14" s="15">
        <v>0</v>
      </c>
      <c r="Z14" s="15">
        <v>64.358630977045379</v>
      </c>
      <c r="AA14" s="15">
        <v>2.8699924984246179</v>
      </c>
      <c r="AB14" s="15">
        <v>0</v>
      </c>
      <c r="AC14" s="15">
        <v>1.165065738155777E-2</v>
      </c>
      <c r="AD14" s="15">
        <v>0.96459187956363768</v>
      </c>
      <c r="AE14" s="15">
        <f t="shared" si="0"/>
        <v>100.00000000000001</v>
      </c>
      <c r="AF14" s="15"/>
    </row>
    <row r="15" spans="1:32" ht="18.75" customHeight="1" x14ac:dyDescent="0.25">
      <c r="A15" s="15" t="s">
        <v>57</v>
      </c>
      <c r="B15" s="15">
        <v>0.40823452147772532</v>
      </c>
      <c r="C15" s="15">
        <v>2.0535512351211671</v>
      </c>
      <c r="D15" s="15">
        <v>2.6363109750369199E-3</v>
      </c>
      <c r="E15" s="15">
        <v>4.0081937612832727E-2</v>
      </c>
      <c r="F15" s="15">
        <v>0</v>
      </c>
      <c r="G15" s="15">
        <v>18.11136894907197</v>
      </c>
      <c r="H15" s="15">
        <v>0.50168644456300915</v>
      </c>
      <c r="I15" s="15">
        <v>1.3453167142130256</v>
      </c>
      <c r="J15" s="15">
        <v>21.739826177399543</v>
      </c>
      <c r="K15" s="15">
        <v>0</v>
      </c>
      <c r="L15" s="15">
        <v>0</v>
      </c>
      <c r="M15" s="15">
        <v>0</v>
      </c>
      <c r="N15" s="15">
        <v>3.2654110036376021</v>
      </c>
      <c r="O15" s="15">
        <v>0.26987140494578332</v>
      </c>
      <c r="P15" s="15">
        <v>4.8075093905217909E-3</v>
      </c>
      <c r="Q15" s="15">
        <v>3.9928274028218529</v>
      </c>
      <c r="R15" s="16">
        <v>45.516869099734919</v>
      </c>
      <c r="S15" s="14">
        <v>0</v>
      </c>
      <c r="T15" s="14">
        <v>9.5017720480093746E-3</v>
      </c>
      <c r="U15" s="15">
        <v>0</v>
      </c>
      <c r="V15" s="15">
        <v>8.406837947089971E-3</v>
      </c>
      <c r="W15" s="15">
        <v>0.22179631104056541</v>
      </c>
      <c r="X15" s="15">
        <v>0</v>
      </c>
      <c r="Y15" s="15">
        <v>1.9477206843033432E-2</v>
      </c>
      <c r="Z15" s="15">
        <v>0.70678656173432042</v>
      </c>
      <c r="AA15" s="15">
        <v>0</v>
      </c>
      <c r="AB15" s="15">
        <v>4.4856923080936216E-2</v>
      </c>
      <c r="AC15" s="15">
        <v>1.7366856763410656</v>
      </c>
      <c r="AD15" s="15">
        <v>0</v>
      </c>
      <c r="AE15" s="15">
        <f t="shared" si="0"/>
        <v>100.00000000000003</v>
      </c>
      <c r="AF15" s="15"/>
    </row>
    <row r="16" spans="1:32" ht="18.75" customHeight="1" x14ac:dyDescent="0.25">
      <c r="A16" s="15" t="s">
        <v>58</v>
      </c>
      <c r="B16" s="15">
        <v>0</v>
      </c>
      <c r="C16" s="15">
        <v>0</v>
      </c>
      <c r="D16" s="15">
        <v>0</v>
      </c>
      <c r="E16" s="15">
        <v>1.4999999999999999E-2</v>
      </c>
      <c r="F16" s="15">
        <v>0</v>
      </c>
      <c r="G16" s="15">
        <v>17.5</v>
      </c>
      <c r="H16" s="15">
        <v>0</v>
      </c>
      <c r="I16" s="15">
        <v>0</v>
      </c>
      <c r="J16" s="15">
        <v>67.147499999999994</v>
      </c>
      <c r="K16" s="15">
        <v>0</v>
      </c>
      <c r="L16" s="15">
        <v>0</v>
      </c>
      <c r="M16" s="15">
        <v>0</v>
      </c>
      <c r="N16" s="15">
        <v>2.25</v>
      </c>
      <c r="O16" s="15">
        <v>1</v>
      </c>
      <c r="P16" s="15">
        <v>0.05</v>
      </c>
      <c r="Q16" s="15">
        <v>0</v>
      </c>
      <c r="R16" s="15">
        <v>11.5</v>
      </c>
      <c r="S16" s="16">
        <v>0</v>
      </c>
      <c r="T16" s="14">
        <v>2.2499999999999999E-2</v>
      </c>
      <c r="U16" s="14">
        <v>0</v>
      </c>
      <c r="V16" s="15">
        <v>1.4999999999999999E-2</v>
      </c>
      <c r="W16" s="15">
        <v>0.5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f t="shared" si="0"/>
        <v>99.999999999999986</v>
      </c>
      <c r="AF16" s="15"/>
    </row>
    <row r="17" spans="1:32" ht="18.75" customHeight="1" x14ac:dyDescent="0.25">
      <c r="A17" s="15" t="s">
        <v>59</v>
      </c>
      <c r="B17" s="15">
        <v>31.010999999999999</v>
      </c>
      <c r="C17" s="15">
        <v>0</v>
      </c>
      <c r="D17" s="15">
        <v>0</v>
      </c>
      <c r="E17" s="15">
        <v>2.7999999999999997E-2</v>
      </c>
      <c r="F17" s="15">
        <v>0</v>
      </c>
      <c r="G17" s="15">
        <v>6.9000000000000006E-2</v>
      </c>
      <c r="H17" s="15">
        <v>0</v>
      </c>
      <c r="I17" s="15">
        <v>0.48</v>
      </c>
      <c r="J17" s="15">
        <v>0.18</v>
      </c>
      <c r="K17" s="15">
        <v>5.2499999999999995E-3</v>
      </c>
      <c r="L17" s="15">
        <v>0</v>
      </c>
      <c r="M17" s="15">
        <v>0.75</v>
      </c>
      <c r="N17" s="15">
        <v>0</v>
      </c>
      <c r="O17" s="15">
        <v>4.4999999999999998E-2</v>
      </c>
      <c r="P17" s="15">
        <v>1.7499999999999998E-2</v>
      </c>
      <c r="Q17" s="15">
        <v>0</v>
      </c>
      <c r="R17" s="15">
        <v>0</v>
      </c>
      <c r="S17" s="15">
        <v>6.9999999999999993E-2</v>
      </c>
      <c r="T17" s="16">
        <v>0</v>
      </c>
      <c r="U17" s="14">
        <v>0</v>
      </c>
      <c r="V17" s="14">
        <v>0</v>
      </c>
      <c r="W17" s="15">
        <v>0.06</v>
      </c>
      <c r="X17" s="15">
        <v>0</v>
      </c>
      <c r="Y17" s="15">
        <v>0</v>
      </c>
      <c r="Z17" s="15">
        <v>62.804249999999996</v>
      </c>
      <c r="AA17" s="15">
        <v>2.8</v>
      </c>
      <c r="AB17" s="15">
        <v>0</v>
      </c>
      <c r="AC17" s="15">
        <v>0</v>
      </c>
      <c r="AD17" s="15">
        <v>1.68</v>
      </c>
      <c r="AE17" s="15">
        <f t="shared" si="0"/>
        <v>100</v>
      </c>
      <c r="AF17" s="15"/>
    </row>
    <row r="18" spans="1:32" ht="18.75" customHeight="1" x14ac:dyDescent="0.25">
      <c r="A18" s="15" t="s">
        <v>60</v>
      </c>
      <c r="B18" s="15">
        <v>0</v>
      </c>
      <c r="C18" s="15">
        <v>0</v>
      </c>
      <c r="D18" s="15">
        <v>0</v>
      </c>
      <c r="E18" s="15">
        <v>65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6"/>
      <c r="V18" s="14">
        <v>0</v>
      </c>
      <c r="W18" s="14">
        <v>35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f t="shared" si="0"/>
        <v>100</v>
      </c>
      <c r="AF18" s="15"/>
    </row>
    <row r="19" spans="1:32" ht="18.75" customHeight="1" x14ac:dyDescent="0.25">
      <c r="A19" s="15" t="s">
        <v>61</v>
      </c>
      <c r="B19" s="15">
        <v>0</v>
      </c>
      <c r="C19" s="15">
        <v>0</v>
      </c>
      <c r="D19" s="15">
        <v>0</v>
      </c>
      <c r="E19" s="15">
        <v>88.985592777174801</v>
      </c>
      <c r="F19" s="15">
        <v>1.8690214168039541</v>
      </c>
      <c r="G19" s="15">
        <v>0</v>
      </c>
      <c r="H19" s="15">
        <v>0</v>
      </c>
      <c r="I19" s="15">
        <v>0</v>
      </c>
      <c r="J19" s="15">
        <v>0</v>
      </c>
      <c r="K19" s="15">
        <v>3.1493015972768803</v>
      </c>
      <c r="L19" s="15">
        <v>0</v>
      </c>
      <c r="M19" s="15">
        <v>0</v>
      </c>
      <c r="N19" s="15">
        <v>0</v>
      </c>
      <c r="O19" s="15">
        <v>0</v>
      </c>
      <c r="P19" s="15">
        <v>2.9667063435564094</v>
      </c>
      <c r="Q19" s="15">
        <v>0</v>
      </c>
      <c r="R19" s="15">
        <v>0</v>
      </c>
      <c r="S19" s="15">
        <v>3.0293778651879517</v>
      </c>
      <c r="T19" s="15">
        <v>0</v>
      </c>
      <c r="U19" s="15"/>
      <c r="V19" s="16">
        <v>0</v>
      </c>
      <c r="W19" s="14">
        <v>0</v>
      </c>
      <c r="X19" s="14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f t="shared" si="0"/>
        <v>100</v>
      </c>
      <c r="AF19" s="15" t="s">
        <v>62</v>
      </c>
    </row>
    <row r="20" spans="1:32" ht="18.75" customHeight="1" x14ac:dyDescent="0.25">
      <c r="A20" s="15" t="s">
        <v>63</v>
      </c>
      <c r="B20" s="15">
        <v>17.874000000000002</v>
      </c>
      <c r="C20" s="15">
        <v>0</v>
      </c>
      <c r="D20" s="15">
        <v>0</v>
      </c>
      <c r="E20" s="15">
        <v>71.188474221739838</v>
      </c>
      <c r="F20" s="15">
        <v>1.4952171334431634</v>
      </c>
      <c r="G20" s="15">
        <v>4.6000000000000006E-2</v>
      </c>
      <c r="H20" s="15">
        <v>0</v>
      </c>
      <c r="I20" s="15">
        <v>0.32000000000000006</v>
      </c>
      <c r="J20" s="15">
        <v>0.05</v>
      </c>
      <c r="K20" s="15">
        <v>2.5194412778215045</v>
      </c>
      <c r="L20" s="15">
        <v>0</v>
      </c>
      <c r="M20" s="15">
        <v>0.5</v>
      </c>
      <c r="N20" s="15">
        <v>0</v>
      </c>
      <c r="O20" s="15">
        <v>0.03</v>
      </c>
      <c r="P20" s="15">
        <v>2.3733650748451276</v>
      </c>
      <c r="Q20" s="15">
        <v>0</v>
      </c>
      <c r="R20" s="15">
        <v>0</v>
      </c>
      <c r="S20" s="15">
        <v>2.4235022921503617</v>
      </c>
      <c r="T20" s="15">
        <v>0</v>
      </c>
      <c r="U20" s="15">
        <v>0</v>
      </c>
      <c r="V20" s="15">
        <v>0</v>
      </c>
      <c r="W20" s="16">
        <v>4.0000000000000008E-2</v>
      </c>
      <c r="X20" s="14">
        <v>0</v>
      </c>
      <c r="Y20" s="14">
        <v>0</v>
      </c>
      <c r="Z20" s="15">
        <v>2.0000000000000004E-2</v>
      </c>
      <c r="AA20" s="15">
        <v>0</v>
      </c>
      <c r="AB20" s="15">
        <v>0</v>
      </c>
      <c r="AC20" s="15">
        <v>0</v>
      </c>
      <c r="AD20" s="15">
        <v>1.1199999999999999</v>
      </c>
      <c r="AE20" s="15">
        <f t="shared" si="0"/>
        <v>100</v>
      </c>
      <c r="AF20" s="15"/>
    </row>
    <row r="21" spans="1:32" ht="18.75" customHeight="1" x14ac:dyDescent="0.25">
      <c r="A21" s="15" t="s">
        <v>64</v>
      </c>
      <c r="B21" s="15">
        <v>0</v>
      </c>
      <c r="C21" s="15">
        <v>41.071024702423337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24.195261770755362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6">
        <v>0</v>
      </c>
      <c r="Y21" s="14">
        <v>0</v>
      </c>
      <c r="Z21" s="14">
        <v>0</v>
      </c>
      <c r="AA21" s="15">
        <v>0</v>
      </c>
      <c r="AB21" s="15">
        <v>0</v>
      </c>
      <c r="AC21" s="15">
        <v>34.733713526821312</v>
      </c>
      <c r="AD21" s="15">
        <v>0</v>
      </c>
      <c r="AE21" s="15">
        <f t="shared" si="0"/>
        <v>100</v>
      </c>
      <c r="AF21" s="15"/>
    </row>
    <row r="22" spans="1:32" ht="18.75" customHeight="1" x14ac:dyDescent="0.25">
      <c r="A22" s="15" t="s">
        <v>65</v>
      </c>
      <c r="B22" s="15">
        <v>8.5011764705882396</v>
      </c>
      <c r="C22" s="15">
        <v>8.3250000000000005E-2</v>
      </c>
      <c r="D22" s="15"/>
      <c r="E22" s="15">
        <v>8.8967451911966595</v>
      </c>
      <c r="F22" s="15"/>
      <c r="G22" s="15"/>
      <c r="H22" s="15">
        <v>2.233613364236346</v>
      </c>
      <c r="I22" s="15">
        <v>36.624263044190585</v>
      </c>
      <c r="J22" s="15">
        <v>13.905470588235291</v>
      </c>
      <c r="K22" s="15">
        <v>0.2740736848831678</v>
      </c>
      <c r="L22" s="15">
        <v>0.87320502683172907</v>
      </c>
      <c r="M22" s="15"/>
      <c r="N22" s="15">
        <v>4.8367431155282485</v>
      </c>
      <c r="O22" s="15"/>
      <c r="P22" s="15">
        <v>0.25389881641260131</v>
      </c>
      <c r="Q22" s="15"/>
      <c r="R22" s="15">
        <v>6.9738398306898066</v>
      </c>
      <c r="S22" s="15">
        <v>8.0511004522441336</v>
      </c>
      <c r="T22" s="15"/>
      <c r="U22" s="15">
        <v>0.49950000000000006</v>
      </c>
      <c r="V22" s="15"/>
      <c r="W22" s="15">
        <v>5.5280985463974464</v>
      </c>
      <c r="X22" s="15">
        <v>0.43901605528137883</v>
      </c>
      <c r="Y22" s="16">
        <v>1.9427558132843741</v>
      </c>
      <c r="AB22" s="15"/>
      <c r="AC22" s="15">
        <v>0</v>
      </c>
      <c r="AD22" s="15"/>
      <c r="AE22" s="15">
        <f t="shared" si="0"/>
        <v>99.916750000000008</v>
      </c>
      <c r="AF22" s="15"/>
    </row>
    <row r="23" spans="1:32" ht="18.75" customHeight="1" x14ac:dyDescent="0.25">
      <c r="A23" s="15" t="s">
        <v>66</v>
      </c>
      <c r="B23" s="15">
        <v>0.25</v>
      </c>
      <c r="C23" s="15">
        <v>0</v>
      </c>
      <c r="D23" s="15">
        <v>4.0000000000000001E-3</v>
      </c>
      <c r="E23" s="15">
        <v>0.1</v>
      </c>
      <c r="F23" s="15">
        <v>0</v>
      </c>
      <c r="G23" s="15">
        <v>21.75</v>
      </c>
      <c r="H23" s="15">
        <v>1.5</v>
      </c>
      <c r="I23" s="15">
        <v>0.25</v>
      </c>
      <c r="J23" s="15">
        <v>18.5</v>
      </c>
      <c r="K23" s="15">
        <v>0</v>
      </c>
      <c r="L23" s="15">
        <v>0</v>
      </c>
      <c r="M23" s="15">
        <v>0</v>
      </c>
      <c r="N23" s="15">
        <v>9</v>
      </c>
      <c r="O23" s="15">
        <v>0.5</v>
      </c>
      <c r="P23" s="15">
        <v>0</v>
      </c>
      <c r="Q23" s="15">
        <v>0</v>
      </c>
      <c r="R23" s="15">
        <v>46.936</v>
      </c>
      <c r="S23" s="15">
        <v>0</v>
      </c>
      <c r="T23" s="15">
        <v>0.02</v>
      </c>
      <c r="U23" s="15"/>
      <c r="V23" s="15">
        <v>1.4999999999999999E-2</v>
      </c>
      <c r="W23" s="15">
        <v>0.5</v>
      </c>
      <c r="X23" s="15">
        <v>0</v>
      </c>
      <c r="Y23" s="15">
        <v>0</v>
      </c>
      <c r="Z23" s="16">
        <v>7.4999999999999997E-2</v>
      </c>
      <c r="AA23" s="14">
        <v>0</v>
      </c>
      <c r="AB23" s="14">
        <v>0.6</v>
      </c>
      <c r="AC23" s="15">
        <v>0</v>
      </c>
      <c r="AD23" s="15">
        <v>0</v>
      </c>
      <c r="AE23" s="15">
        <f t="shared" si="0"/>
        <v>99.999999999999986</v>
      </c>
      <c r="AF23" s="15"/>
    </row>
    <row r="24" spans="1:32" ht="18.75" customHeight="1" x14ac:dyDescent="0.25">
      <c r="A24" s="15" t="s">
        <v>67</v>
      </c>
      <c r="B24" s="15">
        <v>0.5</v>
      </c>
      <c r="C24" s="15">
        <v>0</v>
      </c>
      <c r="D24" s="15">
        <v>3.0000000000000001E-3</v>
      </c>
      <c r="E24" s="15">
        <v>0.04</v>
      </c>
      <c r="F24" s="15">
        <v>0</v>
      </c>
      <c r="G24" s="15">
        <v>19</v>
      </c>
      <c r="H24" s="15">
        <v>0.5</v>
      </c>
      <c r="I24" s="15">
        <v>0.15</v>
      </c>
      <c r="J24" s="15">
        <v>17.842000000000006</v>
      </c>
      <c r="K24" s="15">
        <v>0</v>
      </c>
      <c r="L24" s="15">
        <v>0</v>
      </c>
      <c r="M24" s="15">
        <v>0</v>
      </c>
      <c r="N24" s="15">
        <v>3.05</v>
      </c>
      <c r="O24" s="15">
        <v>0.17499999999999999</v>
      </c>
      <c r="P24" s="15">
        <v>0</v>
      </c>
      <c r="Q24" s="15">
        <v>5.125</v>
      </c>
      <c r="R24" s="15">
        <v>52.5</v>
      </c>
      <c r="S24" s="15">
        <v>0</v>
      </c>
      <c r="T24" s="15">
        <v>7.4999999999999997E-3</v>
      </c>
      <c r="U24" s="15"/>
      <c r="V24" s="15">
        <v>7.4999999999999997E-3</v>
      </c>
      <c r="W24" s="15">
        <v>0.17499999999999999</v>
      </c>
      <c r="X24" s="15">
        <v>0</v>
      </c>
      <c r="Y24" s="15">
        <v>2.5000000000000001E-2</v>
      </c>
      <c r="Z24" s="15">
        <v>0.89999999999999991</v>
      </c>
      <c r="AA24" s="16">
        <v>0</v>
      </c>
      <c r="AB24" s="14">
        <v>0</v>
      </c>
      <c r="AC24" s="14">
        <v>0</v>
      </c>
      <c r="AD24" s="15">
        <v>0</v>
      </c>
      <c r="AE24" s="15">
        <f t="shared" si="0"/>
        <v>99.999999999999986</v>
      </c>
      <c r="AF24" s="15" t="s">
        <v>68</v>
      </c>
    </row>
    <row r="25" spans="1:32" ht="18.75" customHeight="1" x14ac:dyDescent="0.25">
      <c r="A25" s="15" t="s">
        <v>69</v>
      </c>
      <c r="B25" s="15">
        <v>51.847200000000001</v>
      </c>
      <c r="C25" s="15">
        <v>0</v>
      </c>
      <c r="D25" s="15">
        <v>0</v>
      </c>
      <c r="E25" s="15">
        <v>1.41E-2</v>
      </c>
      <c r="F25" s="15">
        <v>0</v>
      </c>
      <c r="G25" s="15">
        <v>2.5787999999999998</v>
      </c>
      <c r="H25" s="15">
        <v>0</v>
      </c>
      <c r="I25" s="15">
        <v>0.89600000000000013</v>
      </c>
      <c r="J25" s="15">
        <v>9.5856499999999976</v>
      </c>
      <c r="K25" s="15">
        <v>2.2499999999999998E-3</v>
      </c>
      <c r="L25" s="15">
        <v>0</v>
      </c>
      <c r="M25" s="15">
        <v>1.4</v>
      </c>
      <c r="N25" s="15">
        <v>0.315</v>
      </c>
      <c r="O25" s="15">
        <v>0.22399999999999998</v>
      </c>
      <c r="P25" s="15">
        <v>1.4500000000000001E-2</v>
      </c>
      <c r="Q25" s="15">
        <v>0</v>
      </c>
      <c r="R25" s="15">
        <v>1.61</v>
      </c>
      <c r="S25" s="15">
        <v>0.03</v>
      </c>
      <c r="T25" s="15">
        <v>3.1499999999999996E-3</v>
      </c>
      <c r="U25" s="15">
        <v>0</v>
      </c>
      <c r="V25" s="15">
        <v>2.0999999999999999E-3</v>
      </c>
      <c r="W25" s="15">
        <v>0.182</v>
      </c>
      <c r="X25" s="15">
        <v>0</v>
      </c>
      <c r="Y25" s="15">
        <v>0</v>
      </c>
      <c r="Z25" s="15">
        <v>26.959249999999997</v>
      </c>
      <c r="AA25" s="15">
        <v>1.2</v>
      </c>
      <c r="AB25" s="16">
        <v>0</v>
      </c>
      <c r="AC25" s="14">
        <v>0</v>
      </c>
      <c r="AD25" s="14">
        <v>3.1359999999999997</v>
      </c>
      <c r="AE25" s="15">
        <f t="shared" si="0"/>
        <v>100.00000000000001</v>
      </c>
      <c r="AF25" s="15"/>
    </row>
    <row r="26" spans="1:32" ht="18.75" customHeight="1" x14ac:dyDescent="0.25">
      <c r="A26" s="15" t="s">
        <v>70</v>
      </c>
      <c r="B26" s="15">
        <v>6</v>
      </c>
      <c r="C26" s="15">
        <v>0</v>
      </c>
      <c r="D26" s="15">
        <v>0</v>
      </c>
      <c r="E26" s="15">
        <v>0.04</v>
      </c>
      <c r="F26" s="15">
        <v>0</v>
      </c>
      <c r="G26" s="15">
        <v>0</v>
      </c>
      <c r="H26" s="15">
        <v>0</v>
      </c>
      <c r="I26" s="15">
        <v>0</v>
      </c>
      <c r="J26" s="15">
        <v>0.15</v>
      </c>
      <c r="K26" s="15">
        <v>7.4999999999999997E-3</v>
      </c>
      <c r="L26" s="15">
        <v>0</v>
      </c>
      <c r="M26" s="15">
        <v>0</v>
      </c>
      <c r="N26" s="15">
        <v>0</v>
      </c>
      <c r="O26" s="15">
        <v>0</v>
      </c>
      <c r="P26" s="15">
        <v>2.5000000000000001E-2</v>
      </c>
      <c r="Q26" s="15">
        <v>0</v>
      </c>
      <c r="R26" s="15">
        <v>0</v>
      </c>
      <c r="S26" s="15">
        <v>0.1</v>
      </c>
      <c r="T26" s="15">
        <v>0</v>
      </c>
      <c r="U26" s="15"/>
      <c r="V26" s="15">
        <v>0</v>
      </c>
      <c r="W26" s="15">
        <v>0</v>
      </c>
      <c r="X26" s="15">
        <v>0</v>
      </c>
      <c r="Y26" s="15">
        <v>0</v>
      </c>
      <c r="Z26" s="15">
        <v>89.677499999999995</v>
      </c>
      <c r="AA26" s="15">
        <v>4</v>
      </c>
      <c r="AB26" s="15"/>
      <c r="AC26" s="16">
        <v>0</v>
      </c>
      <c r="AD26" s="14">
        <v>0</v>
      </c>
      <c r="AE26" s="17">
        <f t="shared" si="0"/>
        <v>100</v>
      </c>
      <c r="AF26" s="15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B1:H25"/>
  <sheetViews>
    <sheetView workbookViewId="0"/>
  </sheetViews>
  <sheetFormatPr baseColWidth="10" defaultColWidth="9.140625" defaultRowHeight="15" x14ac:dyDescent="0.25"/>
  <cols>
    <col min="1" max="1" width="13.5703125" bestFit="1" customWidth="1"/>
    <col min="2" max="2" width="19.7109375" bestFit="1" customWidth="1"/>
    <col min="3" max="3" width="19.140625" style="10" bestFit="1" customWidth="1"/>
    <col min="4" max="4" width="8.28515625" bestFit="1" customWidth="1"/>
    <col min="5" max="5" width="8.7109375" bestFit="1" customWidth="1"/>
    <col min="6" max="6" width="10.42578125" bestFit="1" customWidth="1"/>
    <col min="7" max="7" width="19.85546875" bestFit="1" customWidth="1"/>
    <col min="8" max="8" width="15.140625" bestFit="1" customWidth="1"/>
  </cols>
  <sheetData>
    <row r="1" spans="2:8" ht="19.5" customHeight="1" x14ac:dyDescent="0.25">
      <c r="C1" s="1"/>
    </row>
    <row r="2" spans="2:8" ht="19.5" customHeight="1" x14ac:dyDescent="0.25">
      <c r="B2" s="2" t="s">
        <v>0</v>
      </c>
      <c r="C2" s="3"/>
      <c r="D2" s="4"/>
      <c r="E2" s="4"/>
      <c r="F2" s="4"/>
      <c r="G2" s="4"/>
      <c r="H2" s="4"/>
    </row>
    <row r="3" spans="2:8" ht="19.5" customHeight="1" x14ac:dyDescent="0.25">
      <c r="B3" s="5" t="s">
        <v>1</v>
      </c>
      <c r="C3" s="6" t="s">
        <v>2</v>
      </c>
      <c r="E3" t="s">
        <v>3</v>
      </c>
    </row>
    <row r="4" spans="2:8" ht="19.5" customHeight="1" x14ac:dyDescent="0.25">
      <c r="B4" s="5" t="s">
        <v>4</v>
      </c>
      <c r="C4" s="7" t="s">
        <v>5</v>
      </c>
      <c r="E4" t="s">
        <v>6</v>
      </c>
    </row>
    <row r="5" spans="2:8" ht="19.5" customHeight="1" x14ac:dyDescent="0.25">
      <c r="B5" s="5" t="s">
        <v>7</v>
      </c>
      <c r="C5" s="7" t="s">
        <v>8</v>
      </c>
      <c r="E5" t="s">
        <v>9</v>
      </c>
    </row>
    <row r="6" spans="2:8" ht="19.5" customHeight="1" x14ac:dyDescent="0.25">
      <c r="B6" s="8" t="s">
        <v>10</v>
      </c>
      <c r="C6" s="9"/>
      <c r="E6" t="s">
        <v>11</v>
      </c>
    </row>
    <row r="7" spans="2:8" ht="19.5" customHeight="1" x14ac:dyDescent="0.25">
      <c r="C7" s="1"/>
    </row>
    <row r="8" spans="2:8" ht="19.5" customHeight="1" x14ac:dyDescent="0.25">
      <c r="C8" s="1"/>
    </row>
    <row r="9" spans="2:8" ht="19.5" customHeight="1" x14ac:dyDescent="0.25">
      <c r="C9" s="1"/>
    </row>
    <row r="10" spans="2:8" ht="19.5" customHeight="1" x14ac:dyDescent="0.25">
      <c r="C10" s="1"/>
    </row>
    <row r="11" spans="2:8" ht="19.149999999999999" customHeight="1" x14ac:dyDescent="0.25">
      <c r="C11" s="1"/>
    </row>
    <row r="12" spans="2:8" ht="19.149999999999999" customHeight="1" x14ac:dyDescent="0.25">
      <c r="C12" s="1"/>
    </row>
    <row r="13" spans="2:8" ht="19.5" customHeight="1" x14ac:dyDescent="0.25">
      <c r="C13" s="1"/>
    </row>
    <row r="14" spans="2:8" ht="19.5" customHeight="1" x14ac:dyDescent="0.25">
      <c r="C14" s="1"/>
    </row>
    <row r="15" spans="2:8" ht="19.5" customHeight="1" x14ac:dyDescent="0.25">
      <c r="C15" s="1"/>
    </row>
    <row r="16" spans="2:8" ht="19.5" customHeight="1" x14ac:dyDescent="0.25">
      <c r="C16" s="1"/>
    </row>
    <row r="17" spans="3:3" ht="19.5" customHeight="1" x14ac:dyDescent="0.25">
      <c r="C17" s="1"/>
    </row>
    <row r="18" spans="3:3" ht="19.5" customHeight="1" x14ac:dyDescent="0.25">
      <c r="C18" s="1"/>
    </row>
    <row r="19" spans="3:3" ht="19.5" customHeight="1" x14ac:dyDescent="0.25">
      <c r="C19" s="1"/>
    </row>
    <row r="20" spans="3:3" ht="19.5" customHeight="1" x14ac:dyDescent="0.25">
      <c r="C20" s="1"/>
    </row>
    <row r="21" spans="3:3" ht="19.5" customHeight="1" x14ac:dyDescent="0.25">
      <c r="C21" s="1"/>
    </row>
    <row r="22" spans="3:3" ht="19.5" customHeight="1" x14ac:dyDescent="0.25">
      <c r="C22" s="1"/>
    </row>
    <row r="23" spans="3:3" ht="19.5" customHeight="1" x14ac:dyDescent="0.25">
      <c r="C23" s="1"/>
    </row>
    <row r="24" spans="3:3" ht="19.5" customHeight="1" x14ac:dyDescent="0.25">
      <c r="C24" s="1"/>
    </row>
    <row r="25" spans="3:3" ht="19.5" customHeight="1" x14ac:dyDescent="0.25">
      <c r="C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Material_Data</vt:lpstr>
      <vt:lpstr>README - How to enter 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Jan-Steffen Fischer</cp:lastModifiedBy>
  <dcterms:created xsi:type="dcterms:W3CDTF">2026-05-27T05:08:18Z</dcterms:created>
  <dcterms:modified xsi:type="dcterms:W3CDTF">2026-06-29T18:40:36Z</dcterms:modified>
</cp:coreProperties>
</file>